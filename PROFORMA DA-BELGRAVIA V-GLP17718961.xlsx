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82a58ecadc482c7/GMSA - global maritime super app/"/>
    </mc:Choice>
  </mc:AlternateContent>
  <xr:revisionPtr revIDLastSave="15" documentId="13_ncr:1_{39505F97-B7B7-4593-8877-5670B0FE9DE7}" xr6:coauthVersionLast="47" xr6:coauthVersionMax="47" xr10:uidLastSave="{5F0A5A9B-5D0D-4A5D-9F30-6EBC7E6CF08E}"/>
  <bookViews>
    <workbookView xWindow="-120" yWindow="-120" windowWidth="38640" windowHeight="21120" tabRatio="729" activeTab="1" xr2:uid="{00000000-000D-0000-FFFF-FFFF00000000}"/>
  </bookViews>
  <sheets>
    <sheet name="Tanker PDA" sheetId="1" r:id="rId1"/>
    <sheet name="Tanker FDA" sheetId="9" r:id="rId2"/>
    <sheet name="Harbour" sheetId="6" r:id="rId3"/>
    <sheet name="REINSPECTION" sheetId="12" r:id="rId4"/>
    <sheet name="ENVIRONMENT" sheetId="11" r:id="rId5"/>
    <sheet name="Pilot" sheetId="7" r:id="rId6"/>
    <sheet name="Mooring" sheetId="8" r:id="rId7"/>
    <sheet name="ANCHORAGE" sheetId="10" r:id="rId8"/>
    <sheet name="GEOREP" sheetId="13" r:id="rId9"/>
    <sheet name="MONITORING" sheetId="14" r:id="rId10"/>
  </sheets>
  <definedNames>
    <definedName name="_xlnm.Print_Area" localSheetId="1">'Tanker FDA'!$A$1:$M$66</definedName>
    <definedName name="_xlnm.Print_Area" localSheetId="0">'Tanker PDA'!$A$1:$M$57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9" l="1"/>
  <c r="L21" i="1"/>
  <c r="H7" i="11"/>
  <c r="H6" i="11"/>
  <c r="L32" i="1"/>
  <c r="L17" i="1"/>
  <c r="L16" i="1"/>
  <c r="L31" i="1"/>
  <c r="L30" i="1"/>
  <c r="L29" i="1"/>
  <c r="L28" i="1"/>
  <c r="M32" i="9" l="1"/>
  <c r="M31" i="9"/>
  <c r="M30" i="9"/>
  <c r="M29" i="9"/>
  <c r="L15" i="1" l="1"/>
  <c r="L22" i="1" l="1"/>
  <c r="L18" i="1"/>
  <c r="M12" i="1" l="1"/>
  <c r="L27" i="1" s="1"/>
  <c r="L4" i="11"/>
  <c r="H4" i="11"/>
  <c r="H5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301" i="11"/>
  <c r="H302" i="11"/>
  <c r="H303" i="11"/>
  <c r="H304" i="11"/>
  <c r="H305" i="11"/>
  <c r="H306" i="11"/>
  <c r="H307" i="11"/>
  <c r="H308" i="11"/>
  <c r="H309" i="11"/>
  <c r="H310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L26" i="1" l="1"/>
  <c r="C3" i="9" l="1"/>
  <c r="L25" i="1" l="1"/>
  <c r="L34" i="1" l="1"/>
  <c r="L10" i="9" l="1"/>
  <c r="K10" i="9" l="1"/>
  <c r="D10" i="9" l="1"/>
  <c r="J10" i="9" l="1"/>
  <c r="H10" i="9"/>
  <c r="M24" i="9" s="1"/>
  <c r="E10" i="9"/>
  <c r="A10" i="9"/>
  <c r="M36" i="9" l="1"/>
  <c r="M38" i="9" s="1"/>
  <c r="XFD38" i="9" l="1"/>
</calcChain>
</file>

<file path=xl/sharedStrings.xml><?xml version="1.0" encoding="utf-8"?>
<sst xmlns="http://schemas.openxmlformats.org/spreadsheetml/2006/main" count="262" uniqueCount="179">
  <si>
    <t>Estimated Qty.</t>
  </si>
  <si>
    <t>Services</t>
  </si>
  <si>
    <t>Service Group</t>
  </si>
  <si>
    <t xml:space="preserve">Service Description </t>
  </si>
  <si>
    <t>Amount (USD)</t>
  </si>
  <si>
    <t>Tonnage dues</t>
  </si>
  <si>
    <t>Environment pollution dues</t>
  </si>
  <si>
    <t>Berth dues</t>
  </si>
  <si>
    <t>Sanitary dues</t>
  </si>
  <si>
    <t>Mooring Expenses - Mooring</t>
  </si>
  <si>
    <t>Mooring Expenses - Unmooring</t>
  </si>
  <si>
    <t>Towage - Inwards</t>
  </si>
  <si>
    <t>Towage - Outwards</t>
  </si>
  <si>
    <t>Watchman service dues</t>
  </si>
  <si>
    <t>Harbour dues</t>
  </si>
  <si>
    <t>Georep dues</t>
  </si>
  <si>
    <t>A: Port Expenses</t>
  </si>
  <si>
    <t>B: Pilot Expenses</t>
  </si>
  <si>
    <t>D: Hydrography</t>
  </si>
  <si>
    <t>Addressing To:</t>
  </si>
  <si>
    <t>Name</t>
  </si>
  <si>
    <t>Reduced GRT</t>
  </si>
  <si>
    <t>Parameters of the Tanker ship</t>
  </si>
  <si>
    <t>0.07$</t>
  </si>
  <si>
    <t>GRT</t>
  </si>
  <si>
    <t>Fire prevention dues</t>
  </si>
  <si>
    <t>Hour</t>
  </si>
  <si>
    <t>C: Maritime Transport</t>
  </si>
  <si>
    <t>Agency Expenes</t>
  </si>
  <si>
    <t>LOA</t>
  </si>
  <si>
    <t>Beam</t>
  </si>
  <si>
    <t>Depth</t>
  </si>
  <si>
    <t>L x B x D</t>
  </si>
  <si>
    <t>GEL 350</t>
  </si>
  <si>
    <t>FROM</t>
  </si>
  <si>
    <t>TO</t>
  </si>
  <si>
    <t>-</t>
  </si>
  <si>
    <t>FEE</t>
  </si>
  <si>
    <t xml:space="preserve">FEE </t>
  </si>
  <si>
    <r>
      <t>1.1</t>
    </r>
    <r>
      <rPr>
        <sz val="7"/>
        <color indexed="8"/>
        <rFont val="Times New Roman"/>
        <family val="1"/>
      </rPr>
      <t xml:space="preserve">           </t>
    </r>
    <r>
      <rPr>
        <sz val="10"/>
        <color indexed="8"/>
        <rFont val="Sylfaen"/>
        <family val="1"/>
      </rPr>
      <t>თუ გემის პირობითი მოცულობა ნაკლებია 8000 კუბურ მეტრზე, მაშინ გემის პირობითი მოცულობა იანგარიშება როგორც 8000 კუბური მეტრი.</t>
    </r>
  </si>
  <si>
    <t>www.mta.gov.ge</t>
  </si>
  <si>
    <t>Fixed fee</t>
  </si>
  <si>
    <t>Lumpsum</t>
  </si>
  <si>
    <t>Launch boat</t>
  </si>
  <si>
    <t xml:space="preserve">0.07$ 0.08$ </t>
  </si>
  <si>
    <t>- Launch hire USD 60.00 per trip to CBM, USD 90.00 per hour for trips to Anchorage</t>
  </si>
  <si>
    <t>IMO</t>
  </si>
  <si>
    <t>Calculation Method</t>
  </si>
  <si>
    <t>- Calculation method and basis for dimensions provided above, Final Disbursement account will be corrected as per actual</t>
  </si>
  <si>
    <t>- At Georgian ports, additional payment (+25%) for Pilotage, Mooring, Tugboats are imposed during National holidays;</t>
  </si>
  <si>
    <t>&lt; 10000 GRT            &gt; 10000 GRT</t>
  </si>
  <si>
    <t>PIC/POC:</t>
  </si>
  <si>
    <t>Note:</t>
  </si>
  <si>
    <t xml:space="preserve">This document is the Agent’s offer to the Customer and duly accepted by Customer </t>
  </si>
  <si>
    <t xml:space="preserve">on date of funds remittance to the Agent's account according to this document </t>
  </si>
  <si>
    <t>that means Parties concluded agreement in a simple written form.</t>
  </si>
  <si>
    <t>Bank commissions at remittances should be for the Payer’s account.</t>
  </si>
  <si>
    <t>Voyage details</t>
  </si>
  <si>
    <t>SUBTOTAL (USD)</t>
  </si>
  <si>
    <t xml:space="preserve">Dated:   </t>
  </si>
  <si>
    <t>Pilotage - Outwards</t>
  </si>
  <si>
    <t>`</t>
  </si>
  <si>
    <t>Monitoring service (VTS)</t>
  </si>
  <si>
    <t>LxBxD &lt; 5000 = 10000</t>
  </si>
  <si>
    <t>LxBxD&gt;5000,but&lt;12000=12000</t>
  </si>
  <si>
    <t>Advance Received  (USD)</t>
  </si>
  <si>
    <t>Day ship position</t>
  </si>
  <si>
    <t>- Fresh Water at port area USD 6.00$ PMT + USD 400.00$ Barge shifting</t>
  </si>
  <si>
    <t>Daily ship positions</t>
  </si>
  <si>
    <r>
      <t>Port:</t>
    </r>
    <r>
      <rPr>
        <sz val="8"/>
        <color indexed="8"/>
        <rFont val="Verdana"/>
        <family val="2"/>
        <charset val="204"/>
      </rPr>
      <t xml:space="preserve">  Batumi, Georgia</t>
    </r>
  </si>
  <si>
    <t>Description</t>
  </si>
  <si>
    <t xml:space="preserve">Jaba Tarimanashvili | Mobile: +995 599 69 22 11 </t>
  </si>
  <si>
    <t>Lumpsum all inclusive</t>
  </si>
  <si>
    <t>Agency Fee</t>
  </si>
  <si>
    <t>NOTE: Please transfer 100% of PDA amount, due to port, authorities and service provider requirements, all costs to be paid before vessel arrival.</t>
  </si>
  <si>
    <t>E: Agency Fees</t>
  </si>
  <si>
    <t>Per trip CBM(6 trip) Per trip Anchorage</t>
  </si>
  <si>
    <t>C: Maritime Transport Agency</t>
  </si>
  <si>
    <r>
      <t xml:space="preserve">Pilotage -Inwards </t>
    </r>
    <r>
      <rPr>
        <sz val="6"/>
        <rFont val="Verdana"/>
        <family val="2"/>
        <charset val="204"/>
      </rPr>
      <t>Night time 22:00-06:30  + 25%</t>
    </r>
  </si>
  <si>
    <r>
      <t xml:space="preserve">Pilotage -Outwards </t>
    </r>
    <r>
      <rPr>
        <sz val="6"/>
        <rFont val="Verdana"/>
        <family val="2"/>
        <charset val="204"/>
      </rPr>
      <t>Night time 22:00-06:30  + 25%</t>
    </r>
  </si>
  <si>
    <t xml:space="preserve">General email: agency@translogisticllc.com </t>
  </si>
  <si>
    <t>&lt; 10000 GRT         &gt; 10000 GRT</t>
  </si>
  <si>
    <t>PORT INVOICE</t>
  </si>
  <si>
    <t>Fixed fee: +25 Holiday</t>
  </si>
  <si>
    <t>F: Agency Fees</t>
  </si>
  <si>
    <t>&lt; 10000 GRT           &gt; 10000 GRT</t>
  </si>
  <si>
    <t>Light dues SBT YES</t>
  </si>
  <si>
    <t>0.09$ x gross</t>
  </si>
  <si>
    <t xml:space="preserve">www.mta.gov.ge  </t>
  </si>
  <si>
    <t>0.09$</t>
  </si>
  <si>
    <t>Account With Institution:  BANK OF GEORGIA, SWIFT: BAGAGE22; 29a Gagarin street, Tbilisi 0160, Georgia</t>
  </si>
  <si>
    <t>Intermediary bank: CITIBANK N.A., NEW-YORK, USA; SWIFT: CITIUS33,</t>
  </si>
  <si>
    <t xml:space="preserve">60.00$ </t>
  </si>
  <si>
    <t xml:space="preserve">GRT: </t>
  </si>
  <si>
    <t>GRT:</t>
  </si>
  <si>
    <t>+25% Holiday fee</t>
  </si>
  <si>
    <t>Balance to YOUR favor (USD)</t>
  </si>
  <si>
    <t>Fire watch dues</t>
  </si>
  <si>
    <t>10$ per hour of port stay</t>
  </si>
  <si>
    <t>Lighthouse service fee</t>
  </si>
  <si>
    <t>Loading</t>
  </si>
  <si>
    <t>გემის განმეორებითი შემოწმება ნავსადგურის სახელმწიფო კონტროლის მიერ – კანონმდებლობით</t>
  </si>
  <si>
    <t>დადგენილ ვადაში – 1 855 ლარი;</t>
  </si>
  <si>
    <t>საქართველოს ნავსადგურში გემის შესვლა-გასვლის გაფორმება:</t>
  </si>
  <si>
    <t>ძებნა-გადარჩენის სისტემაში მონაწილეობის საფასური, გარდა ამ მუხლის „ჰ64“, „ჰ67“, „ჰ68“, და „ჰ72“</t>
  </si>
  <si>
    <t>ჰ62) საქართველოს ნავსადგურში გარე რეიდზე ღუზაზე დგომის დღიური საფასური (მიუხედევად დღე-</t>
  </si>
  <si>
    <t>ღამის განმავლობაში ღუზაზე დგომის ხანგრძლივობისა):</t>
  </si>
  <si>
    <t>500 – 1000 GT – 265 ლარი;</t>
  </si>
  <si>
    <t>1001 – 5000 GT – 365 ლარი;</t>
  </si>
  <si>
    <t>5001 – 15000 GT – 715 ლარი;</t>
  </si>
  <si>
    <t>15001 და &lt; GT – 945 ლარი.</t>
  </si>
  <si>
    <t>ამ ქვეპუნქტით გათვალისწინებული საფასურის გადახდის ვალდებულება არ ვრცელდება გემებზე,</t>
  </si>
  <si>
    <t>რომელთა საერთო ტევადობაც არის 500 GT-ზე ნაკლები, დაპატიმრებულ და ადმინისტრაციული წესით</t>
  </si>
  <si>
    <t>დაკავებულ გემებზე, ასევე ფორსმაჟორული სიტუაციიდან გამომდინარე, ღუზაზე მდგომ ნებისმიერი ტიპის</t>
  </si>
  <si>
    <t>გემზე. აღნიშნული საფასური შეეხება 500 საერთო ტევადობაზე (GT) მეტ ყველა იმ გემს, რომელიც მოვიდა და</t>
  </si>
  <si>
    <t>დადგა ნავსადგურის გარე რეიდზე ღუზაზე 24 საათზე მეტი ხნით, იმ პირობით, რომ გემის დანიშნულების</t>
  </si>
  <si>
    <t>ნავსადგურია საქართველოს ნავსადგური, მაგრამ, ამა თუ იმ მიზეზების გამო ნავსადგურში არ შემოვიდა</t>
  </si>
  <si>
    <t>სატვირთო ოპერაციების ჩატარების მიზნით, აგრეთვე, გემს რომელმაც დაასრულა ნავსადგურში შესაბამისი</t>
  </si>
  <si>
    <t>ოპერაციები და ამა თუ იმ მიზეზის გამო საჭიროებს ნავსადგურის გარე რეიდზე ღუზაზე 24 საათზე მეტი ხნით</t>
  </si>
  <si>
    <t>დგომას. საქართველოს ნავსადგურებში შემოსული სხვა სახელმწიფოს დროშით მცურავი სამგზავრო გემები</t>
  </si>
  <si>
    <t>გადაიხდიან ამ ქვეპუნქტში მითითებული საფასურის 20%-ს.</t>
  </si>
  <si>
    <t>0.030$</t>
  </si>
  <si>
    <t>საქართველოს ნავსადგურში ყოველი შესვლა/გასვლის მიზნით საქართველოს ტერიტორიულ ზღვასა</t>
  </si>
  <si>
    <t>და ნავსადგურის აკვატორიაში გემების მოძრაობის მონიტორინგისა და საინფორმაციო სისტემებით</t>
  </si>
  <si>
    <t>მომსახურების საფასური 1 GT-ზე ყველა ტიპის გემისთვის, გარდა თევზსაჭერი, თევზსარეწი და თევზის</t>
  </si>
  <si>
    <t>შენიშვნა: სამხედრო გემები, აგრეთვე გემები, რომლებიც საქართველოს ნავსადგურებში შემოდიან</t>
  </si>
  <si>
    <t>ნავსადგურებისთვის სანავსადგურე ინფრასტრუქტურაზე საჭირო სამუშაოების შესასრულებლად</t>
  </si>
  <si>
    <t>გათავისუფლდებიან ამ ქვეპუნქტით დადგენილი საფასურის გადახდის ვალდებულებისგან. საერთაშორისო</t>
  </si>
  <si>
    <t>ხელშეკრულების შესაბამისად დანიშნული სახაზო გემებისთვის ამ ქვეპუნქტით განსაზღვრული საფასურის</t>
  </si>
  <si>
    <t>განაკვეთი შემცირდება 20%-ით.</t>
  </si>
  <si>
    <t>თუ გემი ერთი შემოსვლის ფარგლებში შედის საქართველოს რამდენიმე ნავსადგურში, პირველ</t>
  </si>
  <si>
    <t>ნავსადგურში შესვლის დროს იხდის ამ პუნქტით გათვალისწინებული საფასურის 100%, ხოლო მეორე და</t>
  </si>
  <si>
    <t>შემდგომ ნავსადგურში შესვლის შემთხვევაში ამ მუხლით გათვალისწინებული საფასური მცირდება 50%-ით.</t>
  </si>
  <si>
    <t>(ამოქმედდეს 2023 წლის 1 იანვრიდან)].</t>
  </si>
  <si>
    <r>
      <rPr>
        <b/>
        <sz val="8"/>
        <rFont val="Verdana"/>
        <family val="2"/>
        <charset val="204"/>
      </rPr>
      <t>For more information website:</t>
    </r>
    <r>
      <rPr>
        <sz val="8"/>
        <rFont val="Verdana"/>
        <family val="2"/>
        <charset val="204"/>
      </rPr>
      <t xml:space="preserve"> www.translogisticllc.com</t>
    </r>
  </si>
  <si>
    <t>Giorgi Darchia | Mobile: +995 593 40 19 69</t>
  </si>
  <si>
    <t>0.15$</t>
  </si>
  <si>
    <t>0.10$</t>
  </si>
  <si>
    <t>0.32$</t>
  </si>
  <si>
    <t>10$</t>
  </si>
  <si>
    <t>Beneficiary's name: Trans Logistic Batumi LLC (ID.: 405 660 413)</t>
  </si>
  <si>
    <t>Account: GE80BG0000000582360695</t>
  </si>
  <si>
    <t>Trans Logistic Batumi LLC (ID.: 405 660 413) Adr.: Office: 5, Chonkadze street, 6000, Batumi, Georgia</t>
  </si>
  <si>
    <t>LPG</t>
  </si>
  <si>
    <t>BELGRAVIA V</t>
  </si>
  <si>
    <t>Vitol International Shipping Pte Ltd</t>
  </si>
  <si>
    <t xml:space="preserve">1.15$ 1.30$ </t>
  </si>
  <si>
    <t>0.1$</t>
  </si>
  <si>
    <t>Pilotage -Inwards</t>
  </si>
  <si>
    <t xml:space="preserve">Proforma Disbursement Account (PDA) </t>
  </si>
  <si>
    <t xml:space="preserve">Cargo Details                                                                                                                        </t>
  </si>
  <si>
    <t>0.16$ x reduced</t>
  </si>
  <si>
    <t>100-1000 GT – 440 ლარი;</t>
  </si>
  <si>
    <t>1001-5000 GT – 792 ლარი;</t>
  </si>
  <si>
    <t>5001-15000 GT – 1276 ლარი;</t>
  </si>
  <si>
    <t>15001&lt; GT – 1634 ლარი.</t>
  </si>
  <si>
    <t>ნედლეულისა და რეწვის პროდუქციის სატრანსპორტო გემებისა – 0.16 ლარი.</t>
  </si>
  <si>
    <r>
      <t xml:space="preserve">Arrival: </t>
    </r>
    <r>
      <rPr>
        <sz val="8"/>
        <rFont val="Verdana"/>
        <family val="2"/>
        <charset val="204"/>
      </rPr>
      <t xml:space="preserve"> 11</t>
    </r>
    <r>
      <rPr>
        <sz val="7"/>
        <rFont val="Verdana"/>
        <family val="2"/>
        <charset val="204"/>
      </rPr>
      <t>-JUNE-2025</t>
    </r>
  </si>
  <si>
    <r>
      <t xml:space="preserve">Departure: </t>
    </r>
    <r>
      <rPr>
        <sz val="8"/>
        <rFont val="Verdana"/>
        <family val="2"/>
      </rPr>
      <t xml:space="preserve"> 16-JUNE-2025</t>
    </r>
  </si>
  <si>
    <t>Final Disbursement Account # 2025-045 Dated: 17.06.2025</t>
  </si>
  <si>
    <t>NO. BSP00362</t>
  </si>
  <si>
    <t>DATE: 17.06.2025</t>
  </si>
  <si>
    <t>Fresh water supply</t>
  </si>
  <si>
    <t>tn</t>
  </si>
  <si>
    <t>USD 6</t>
  </si>
  <si>
    <t>PILOT INVOICE № 312</t>
  </si>
  <si>
    <t>0.03$</t>
  </si>
  <si>
    <t>Night Rate</t>
  </si>
  <si>
    <t>B-872</t>
  </si>
  <si>
    <t>B-871</t>
  </si>
  <si>
    <t>B-870</t>
  </si>
  <si>
    <t>B-873</t>
  </si>
  <si>
    <t>INV. N.20/B</t>
  </si>
  <si>
    <t>Certificates of Origin</t>
  </si>
  <si>
    <t>Propane/Butane</t>
  </si>
  <si>
    <r>
      <t>Activity:</t>
    </r>
    <r>
      <rPr>
        <sz val="8"/>
        <rFont val="Verdana"/>
        <family val="2"/>
        <charset val="204"/>
      </rPr>
      <t xml:space="preserve"> LOADING</t>
    </r>
    <r>
      <rPr>
        <b/>
        <sz val="8"/>
        <rFont val="Verdana"/>
        <family val="2"/>
      </rPr>
      <t xml:space="preserve">                            GLP17102449</t>
    </r>
  </si>
  <si>
    <t>ქვეპუნქტებით განსაზღვრული შემთხვევებისა – 580 ლარი;</t>
  </si>
  <si>
    <t>Activity                                     GLP17718961</t>
  </si>
  <si>
    <t>4800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</si>
</sst>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&quot;р.&quot;_-;\-* #,##0.00\ &quot;р.&quot;_-;_-* &quot;-&quot;??\ &quot;р.&quot;_-;_-@_-"/>
    <numFmt numFmtId="165" formatCode="&quot;$&quot;#,##0.00"/>
    <numFmt numFmtId="166" formatCode="[$$-409]#,##0.00_ ;[Red]\-[$$-409]#,##0.00\ "/>
    <numFmt numFmtId="167" formatCode="_-[$$-409]* #,##0.00_ ;_-[$$-409]* \-#,##0.00\ ;_-[$$-409]* &quot;-&quot;??_ ;_-@_ "/>
  </numFmts>
  <fonts count="46" x14ac:knownFonts="1">
    <font>
      <sz val="11"/>
      <color theme="1"/>
      <name val="Calibri"/>
      <family val="2"/>
      <scheme val="minor"/>
    </font>
    <font>
      <sz val="11"/>
      <color indexed="8"/>
      <name val="Verdana"/>
      <family val="2"/>
    </font>
    <font>
      <sz val="10"/>
      <color indexed="8"/>
      <name val="Verdana"/>
      <family val="2"/>
    </font>
    <font>
      <sz val="8"/>
      <name val="Verdana"/>
      <family val="2"/>
    </font>
    <font>
      <sz val="8"/>
      <color indexed="8"/>
      <name val="Verdana"/>
      <family val="2"/>
    </font>
    <font>
      <b/>
      <sz val="10"/>
      <color indexed="62"/>
      <name val="Verdana"/>
      <family val="2"/>
    </font>
    <font>
      <b/>
      <sz val="8"/>
      <name val="Verdana"/>
      <family val="2"/>
    </font>
    <font>
      <sz val="11"/>
      <name val="Calibri"/>
      <family val="2"/>
    </font>
    <font>
      <i/>
      <sz val="8"/>
      <name val="Verdana"/>
      <family val="2"/>
    </font>
    <font>
      <b/>
      <sz val="8"/>
      <color indexed="8"/>
      <name val="Verdana"/>
      <family val="2"/>
    </font>
    <font>
      <sz val="10"/>
      <color indexed="8"/>
      <name val="Sylfaen"/>
      <family val="1"/>
    </font>
    <font>
      <sz val="7"/>
      <color indexed="8"/>
      <name val="Times New Roman"/>
      <family val="1"/>
    </font>
    <font>
      <b/>
      <sz val="9"/>
      <name val="Verdana"/>
      <family val="2"/>
    </font>
    <font>
      <sz val="10"/>
      <name val="Arial"/>
      <family val="2"/>
      <charset val="204"/>
    </font>
    <font>
      <i/>
      <sz val="9"/>
      <name val="Verdana"/>
      <family val="2"/>
    </font>
    <font>
      <sz val="9"/>
      <name val="Verdana"/>
      <family val="2"/>
    </font>
    <font>
      <sz val="8"/>
      <name val="Calibri"/>
      <family val="2"/>
    </font>
    <font>
      <b/>
      <sz val="8"/>
      <color indexed="8"/>
      <name val="Verdana"/>
      <family val="2"/>
      <charset val="204"/>
    </font>
    <font>
      <sz val="8"/>
      <name val="Verdana"/>
      <family val="2"/>
      <charset val="204"/>
    </font>
    <font>
      <sz val="10"/>
      <name val="Verdana"/>
      <family val="2"/>
      <charset val="204"/>
    </font>
    <font>
      <sz val="8"/>
      <color theme="1"/>
      <name val="Verdana"/>
      <family val="2"/>
      <charset val="204"/>
    </font>
    <font>
      <sz val="8"/>
      <color indexed="8"/>
      <name val="Verdana"/>
      <family val="2"/>
      <charset val="204"/>
    </font>
    <font>
      <b/>
      <sz val="8"/>
      <color rgb="FFFF0000"/>
      <name val="Verdana"/>
      <family val="2"/>
      <charset val="204"/>
    </font>
    <font>
      <sz val="7"/>
      <name val="Verdana"/>
      <family val="2"/>
    </font>
    <font>
      <sz val="6"/>
      <name val="Verdana"/>
      <family val="2"/>
      <charset val="204"/>
    </font>
    <font>
      <b/>
      <sz val="12"/>
      <color indexed="62"/>
      <name val="Verdana"/>
      <family val="2"/>
    </font>
    <font>
      <b/>
      <sz val="10"/>
      <color theme="7" tint="-0.499984740745262"/>
      <name val="Verdana"/>
      <family val="2"/>
      <charset val="204"/>
    </font>
    <font>
      <sz val="9"/>
      <name val="Verdana"/>
      <family val="2"/>
      <charset val="204"/>
    </font>
    <font>
      <i/>
      <sz val="8"/>
      <name val="Verdana"/>
      <family val="2"/>
      <charset val="204"/>
    </font>
    <font>
      <sz val="11"/>
      <color theme="1"/>
      <name val="Calibri"/>
      <family val="2"/>
      <scheme val="minor"/>
    </font>
    <font>
      <sz val="7"/>
      <name val="Verdana"/>
      <family val="2"/>
      <charset val="204"/>
    </font>
    <font>
      <b/>
      <sz val="9"/>
      <color theme="3"/>
      <name val="Verdana"/>
      <family val="2"/>
    </font>
    <font>
      <sz val="10"/>
      <color theme="3"/>
      <name val="Verdana"/>
      <family val="2"/>
    </font>
    <font>
      <sz val="8"/>
      <color theme="0"/>
      <name val="Verdana"/>
      <family val="2"/>
    </font>
    <font>
      <i/>
      <sz val="7"/>
      <name val="Verdana"/>
      <family val="2"/>
      <charset val="204"/>
    </font>
    <font>
      <sz val="11"/>
      <name val="Verdana"/>
      <family val="2"/>
      <charset val="204"/>
    </font>
    <font>
      <sz val="11"/>
      <name val="Calibri"/>
      <family val="2"/>
      <charset val="204"/>
    </font>
    <font>
      <sz val="9"/>
      <name val="Calibri"/>
      <family val="2"/>
      <charset val="204"/>
    </font>
    <font>
      <b/>
      <sz val="9"/>
      <name val="Verdana"/>
      <family val="2"/>
      <charset val="204"/>
    </font>
    <font>
      <b/>
      <sz val="8"/>
      <name val="Verdana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Verdana"/>
      <family val="2"/>
      <charset val="204"/>
    </font>
    <font>
      <sz val="8"/>
      <color theme="1"/>
      <name val="Verdana"/>
      <family val="2"/>
    </font>
    <font>
      <b/>
      <sz val="9"/>
      <color theme="0"/>
      <name val="Verdana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3" fillId="0" borderId="0"/>
    <xf numFmtId="164" fontId="29" fillId="0" borderId="0" applyFont="0" applyFill="0" applyBorder="0" applyAlignment="0" applyProtection="0"/>
  </cellStyleXfs>
  <cellXfs count="124">
    <xf numFmtId="0" fontId="0" fillId="0" borderId="0" xfId="0"/>
    <xf numFmtId="0" fontId="5" fillId="2" borderId="0" xfId="0" applyFont="1" applyFill="1"/>
    <xf numFmtId="0" fontId="1" fillId="2" borderId="0" xfId="0" applyFont="1" applyFill="1"/>
    <xf numFmtId="0" fontId="4" fillId="2" borderId="0" xfId="0" applyFont="1" applyFill="1"/>
    <xf numFmtId="0" fontId="2" fillId="2" borderId="0" xfId="0" applyFont="1" applyFill="1"/>
    <xf numFmtId="0" fontId="3" fillId="2" borderId="0" xfId="0" applyFont="1" applyFill="1" applyAlignment="1">
      <alignment horizontal="left" vertical="top" wrapText="1" readingOrder="1"/>
    </xf>
    <xf numFmtId="0" fontId="7" fillId="2" borderId="0" xfId="0" applyFont="1" applyFill="1" applyAlignment="1">
      <alignment vertical="top"/>
    </xf>
    <xf numFmtId="0" fontId="3" fillId="2" borderId="0" xfId="0" applyFont="1" applyFill="1" applyAlignment="1">
      <alignment vertical="top" wrapText="1"/>
    </xf>
    <xf numFmtId="0" fontId="3" fillId="2" borderId="0" xfId="0" applyFont="1" applyFill="1" applyAlignment="1">
      <alignment vertical="distributed"/>
    </xf>
    <xf numFmtId="0" fontId="3" fillId="2" borderId="0" xfId="0" applyFont="1" applyFill="1" applyAlignment="1">
      <alignment vertical="top"/>
    </xf>
    <xf numFmtId="0" fontId="3" fillId="2" borderId="0" xfId="0" applyFont="1" applyFill="1" applyAlignment="1">
      <alignment horizontal="center" vertical="top"/>
    </xf>
    <xf numFmtId="0" fontId="8" fillId="2" borderId="0" xfId="0" applyFont="1" applyFill="1" applyAlignment="1">
      <alignment vertical="top" wrapText="1" readingOrder="1"/>
    </xf>
    <xf numFmtId="0" fontId="10" fillId="0" borderId="0" xfId="0" applyFont="1"/>
    <xf numFmtId="0" fontId="6" fillId="2" borderId="0" xfId="0" applyFont="1" applyFill="1" applyAlignment="1">
      <alignment vertical="top"/>
    </xf>
    <xf numFmtId="0" fontId="6" fillId="2" borderId="0" xfId="0" applyFont="1" applyFill="1" applyAlignment="1">
      <alignment horizontal="center" vertical="top" wrapText="1" readingOrder="1"/>
    </xf>
    <xf numFmtId="0" fontId="3" fillId="2" borderId="0" xfId="0" applyFont="1" applyFill="1" applyAlignment="1">
      <alignment horizontal="left" vertical="distributed"/>
    </xf>
    <xf numFmtId="0" fontId="3" fillId="2" borderId="0" xfId="0" applyFont="1" applyFill="1" applyAlignment="1">
      <alignment horizontal="left" vertical="top"/>
    </xf>
    <xf numFmtId="0" fontId="6" fillId="2" borderId="0" xfId="0" applyFont="1" applyFill="1" applyAlignment="1">
      <alignment vertical="top" wrapText="1" readingOrder="1"/>
    </xf>
    <xf numFmtId="0" fontId="6" fillId="2" borderId="0" xfId="0" applyFont="1" applyFill="1" applyAlignment="1">
      <alignment horizontal="right" vertical="top"/>
    </xf>
    <xf numFmtId="0" fontId="14" fillId="2" borderId="0" xfId="1" applyFont="1" applyFill="1"/>
    <xf numFmtId="0" fontId="15" fillId="2" borderId="0" xfId="1" applyFont="1" applyFill="1"/>
    <xf numFmtId="0" fontId="12" fillId="2" borderId="0" xfId="1" applyFont="1" applyFill="1"/>
    <xf numFmtId="0" fontId="8" fillId="2" borderId="0" xfId="1" quotePrefix="1" applyFont="1" applyFill="1"/>
    <xf numFmtId="0" fontId="3" fillId="2" borderId="0" xfId="1" applyFont="1" applyFill="1"/>
    <xf numFmtId="0" fontId="6" fillId="2" borderId="0" xfId="1" applyFont="1" applyFill="1"/>
    <xf numFmtId="0" fontId="9" fillId="2" borderId="0" xfId="0" applyFont="1" applyFill="1"/>
    <xf numFmtId="0" fontId="17" fillId="2" borderId="0" xfId="0" applyFont="1" applyFill="1"/>
    <xf numFmtId="0" fontId="3" fillId="2" borderId="0" xfId="0" applyFont="1" applyFill="1" applyAlignment="1">
      <alignment horizontal="center" vertical="top" wrapText="1"/>
    </xf>
    <xf numFmtId="2" fontId="3" fillId="2" borderId="0" xfId="0" applyNumberFormat="1" applyFont="1" applyFill="1" applyAlignment="1">
      <alignment horizontal="center" vertical="top" wrapText="1"/>
    </xf>
    <xf numFmtId="0" fontId="18" fillId="2" borderId="0" xfId="0" applyFont="1" applyFill="1"/>
    <xf numFmtId="0" fontId="19" fillId="2" borderId="0" xfId="0" applyFont="1" applyFill="1"/>
    <xf numFmtId="165" fontId="3" fillId="2" borderId="0" xfId="0" applyNumberFormat="1" applyFont="1" applyFill="1" applyAlignment="1">
      <alignment horizontal="right" vertical="top"/>
    </xf>
    <xf numFmtId="0" fontId="20" fillId="0" borderId="0" xfId="0" applyFont="1"/>
    <xf numFmtId="0" fontId="3" fillId="2" borderId="0" xfId="0" applyFont="1" applyFill="1" applyAlignment="1">
      <alignment horizontal="left" vertical="top" wrapText="1"/>
    </xf>
    <xf numFmtId="0" fontId="9" fillId="2" borderId="0" xfId="0" applyFont="1" applyFill="1" applyAlignment="1">
      <alignment horizontal="center"/>
    </xf>
    <xf numFmtId="0" fontId="17" fillId="2" borderId="0" xfId="0" applyFont="1" applyFill="1" applyAlignment="1">
      <alignment vertical="center"/>
    </xf>
    <xf numFmtId="0" fontId="3" fillId="3" borderId="0" xfId="0" applyFont="1" applyFill="1" applyAlignment="1">
      <alignment horizontal="left" vertical="top" wrapText="1" readingOrder="1"/>
    </xf>
    <xf numFmtId="0" fontId="22" fillId="2" borderId="0" xfId="0" applyFont="1" applyFill="1" applyAlignment="1">
      <alignment horizontal="center" vertical="center" wrapText="1"/>
    </xf>
    <xf numFmtId="0" fontId="0" fillId="2" borderId="0" xfId="0" applyFill="1"/>
    <xf numFmtId="0" fontId="5" fillId="2" borderId="0" xfId="0" applyFont="1" applyFill="1" applyAlignment="1">
      <alignment horizontal="center"/>
    </xf>
    <xf numFmtId="0" fontId="0" fillId="2" borderId="0" xfId="0" applyFill="1" applyAlignment="1">
      <alignment vertical="top"/>
    </xf>
    <xf numFmtId="0" fontId="7" fillId="2" borderId="0" xfId="0" applyFont="1" applyFill="1" applyAlignment="1">
      <alignment horizontal="center" vertical="top"/>
    </xf>
    <xf numFmtId="0" fontId="28" fillId="2" borderId="0" xfId="0" applyFont="1" applyFill="1" applyAlignment="1">
      <alignment vertical="top"/>
    </xf>
    <xf numFmtId="165" fontId="3" fillId="2" borderId="0" xfId="0" applyNumberFormat="1" applyFont="1" applyFill="1" applyAlignment="1">
      <alignment vertical="top"/>
    </xf>
    <xf numFmtId="9" fontId="3" fillId="2" borderId="0" xfId="0" quotePrefix="1" applyNumberFormat="1" applyFont="1" applyFill="1" applyAlignment="1">
      <alignment vertical="top"/>
    </xf>
    <xf numFmtId="0" fontId="3" fillId="2" borderId="0" xfId="0" quotePrefix="1" applyFont="1" applyFill="1" applyAlignment="1">
      <alignment vertical="top"/>
    </xf>
    <xf numFmtId="14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quotePrefix="1" applyFont="1" applyFill="1" applyAlignment="1">
      <alignment horizontal="center" vertical="center" wrapText="1"/>
    </xf>
    <xf numFmtId="0" fontId="32" fillId="2" borderId="0" xfId="0" applyFont="1" applyFill="1"/>
    <xf numFmtId="0" fontId="23" fillId="2" borderId="0" xfId="0" applyFont="1" applyFill="1" applyAlignment="1">
      <alignment horizontal="left" vertical="distributed"/>
    </xf>
    <xf numFmtId="0" fontId="34" fillId="2" borderId="0" xfId="0" applyFont="1" applyFill="1" applyAlignment="1">
      <alignment vertical="top"/>
    </xf>
    <xf numFmtId="0" fontId="33" fillId="2" borderId="0" xfId="0" quotePrefix="1" applyFont="1" applyFill="1" applyAlignment="1">
      <alignment vertical="top"/>
    </xf>
    <xf numFmtId="0" fontId="23" fillId="2" borderId="0" xfId="0" applyFont="1" applyFill="1" applyAlignment="1">
      <alignment vertical="distributed"/>
    </xf>
    <xf numFmtId="0" fontId="18" fillId="2" borderId="0" xfId="0" applyFont="1" applyFill="1" applyAlignment="1">
      <alignment vertical="top"/>
    </xf>
    <xf numFmtId="0" fontId="18" fillId="2" borderId="0" xfId="0" applyFont="1" applyFill="1" applyAlignment="1">
      <alignment horizontal="center" vertical="top"/>
    </xf>
    <xf numFmtId="0" fontId="35" fillId="2" borderId="0" xfId="0" applyFont="1" applyFill="1"/>
    <xf numFmtId="165" fontId="18" fillId="2" borderId="0" xfId="0" applyNumberFormat="1" applyFont="1" applyFill="1" applyAlignment="1">
      <alignment vertical="top"/>
    </xf>
    <xf numFmtId="0" fontId="36" fillId="2" borderId="0" xfId="0" applyFont="1" applyFill="1" applyAlignment="1">
      <alignment vertical="top"/>
    </xf>
    <xf numFmtId="0" fontId="37" fillId="2" borderId="0" xfId="0" applyFont="1" applyFill="1" applyAlignment="1">
      <alignment horizontal="right" vertical="top"/>
    </xf>
    <xf numFmtId="165" fontId="38" fillId="2" borderId="0" xfId="0" applyNumberFormat="1" applyFont="1" applyFill="1" applyAlignment="1">
      <alignment horizontal="right" vertical="top"/>
    </xf>
    <xf numFmtId="0" fontId="38" fillId="0" borderId="0" xfId="0" applyFont="1"/>
    <xf numFmtId="0" fontId="39" fillId="2" borderId="0" xfId="0" applyFont="1" applyFill="1" applyAlignment="1">
      <alignment horizontal="left" vertical="top"/>
    </xf>
    <xf numFmtId="165" fontId="39" fillId="2" borderId="0" xfId="0" applyNumberFormat="1" applyFont="1" applyFill="1" applyAlignment="1">
      <alignment horizontal="right" vertical="top"/>
    </xf>
    <xf numFmtId="2" fontId="41" fillId="4" borderId="1" xfId="0" applyNumberFormat="1" applyFont="1" applyFill="1" applyBorder="1" applyAlignment="1">
      <alignment horizontal="center"/>
    </xf>
    <xf numFmtId="0" fontId="41" fillId="5" borderId="1" xfId="0" applyFont="1" applyFill="1" applyBorder="1" applyAlignment="1">
      <alignment horizontal="center"/>
    </xf>
    <xf numFmtId="0" fontId="42" fillId="6" borderId="1" xfId="0" applyFont="1" applyFill="1" applyBorder="1" applyAlignment="1">
      <alignment horizontal="center"/>
    </xf>
    <xf numFmtId="0" fontId="40" fillId="0" borderId="0" xfId="0" applyFont="1"/>
    <xf numFmtId="0" fontId="3" fillId="2" borderId="0" xfId="0" applyFont="1" applyFill="1"/>
    <xf numFmtId="0" fontId="6" fillId="2" borderId="0" xfId="0" applyFont="1" applyFill="1"/>
    <xf numFmtId="0" fontId="31" fillId="2" borderId="0" xfId="1" applyFont="1" applyFill="1"/>
    <xf numFmtId="9" fontId="3" fillId="2" borderId="0" xfId="0" applyNumberFormat="1" applyFont="1" applyFill="1" applyAlignment="1">
      <alignment vertical="top"/>
    </xf>
    <xf numFmtId="166" fontId="45" fillId="2" borderId="0" xfId="0" applyNumberFormat="1" applyFont="1" applyFill="1" applyAlignment="1">
      <alignment horizontal="right" vertical="top"/>
    </xf>
    <xf numFmtId="165" fontId="45" fillId="2" borderId="0" xfId="0" applyNumberFormat="1" applyFont="1" applyFill="1" applyAlignment="1">
      <alignment vertical="top"/>
    </xf>
    <xf numFmtId="0" fontId="3" fillId="2" borderId="0" xfId="0" applyFont="1" applyFill="1" applyAlignment="1">
      <alignment horizontal="left" vertical="top" wrapText="1"/>
    </xf>
    <xf numFmtId="165" fontId="3" fillId="3" borderId="0" xfId="0" applyNumberFormat="1" applyFont="1" applyFill="1" applyAlignment="1">
      <alignment horizontal="right" vertical="top"/>
    </xf>
    <xf numFmtId="165" fontId="3" fillId="2" borderId="0" xfId="0" applyNumberFormat="1" applyFont="1" applyFill="1" applyAlignment="1">
      <alignment horizontal="right" vertical="top"/>
    </xf>
    <xf numFmtId="0" fontId="3" fillId="2" borderId="0" xfId="0" applyFont="1" applyFill="1" applyAlignment="1">
      <alignment horizontal="left" vertical="top" wrapText="1" readingOrder="1"/>
    </xf>
    <xf numFmtId="0" fontId="33" fillId="2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distributed"/>
    </xf>
    <xf numFmtId="0" fontId="3" fillId="2" borderId="0" xfId="0" applyFont="1" applyFill="1" applyAlignment="1">
      <alignment vertical="distributed"/>
    </xf>
    <xf numFmtId="0" fontId="23" fillId="2" borderId="0" xfId="0" applyFont="1" applyFill="1" applyAlignment="1">
      <alignment vertical="distributed"/>
    </xf>
    <xf numFmtId="0" fontId="3" fillId="2" borderId="0" xfId="0" applyFont="1" applyFill="1" applyAlignment="1">
      <alignment horizontal="left" vertical="top"/>
    </xf>
    <xf numFmtId="0" fontId="44" fillId="2" borderId="0" xfId="0" quotePrefix="1" applyFont="1" applyFill="1" applyAlignment="1">
      <alignment horizontal="center" vertical="top" wrapText="1" readingOrder="1"/>
    </xf>
    <xf numFmtId="0" fontId="44" fillId="2" borderId="0" xfId="0" applyFont="1" applyFill="1" applyAlignment="1">
      <alignment horizontal="center" vertical="top" wrapText="1" readingOrder="1"/>
    </xf>
    <xf numFmtId="0" fontId="9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top" wrapText="1" readingOrder="1"/>
    </xf>
    <xf numFmtId="0" fontId="5" fillId="2" borderId="0" xfId="0" applyFont="1" applyFill="1" applyAlignment="1">
      <alignment horizontal="left" vertical="top" wrapText="1" readingOrder="1"/>
    </xf>
    <xf numFmtId="0" fontId="6" fillId="0" borderId="0" xfId="0" applyFont="1" applyAlignment="1">
      <alignment horizontal="center" vertical="center" wrapText="1" readingOrder="1"/>
    </xf>
    <xf numFmtId="0" fontId="3" fillId="2" borderId="0" xfId="0" applyFont="1" applyFill="1" applyAlignment="1">
      <alignment horizontal="center" vertical="top" wrapText="1"/>
    </xf>
    <xf numFmtId="2" fontId="3" fillId="2" borderId="0" xfId="0" applyNumberFormat="1" applyFont="1" applyFill="1" applyAlignment="1">
      <alignment horizontal="center" vertical="top" wrapText="1"/>
    </xf>
    <xf numFmtId="0" fontId="6" fillId="3" borderId="0" xfId="0" applyFont="1" applyFill="1" applyAlignment="1">
      <alignment horizontal="left" vertical="top" wrapText="1" readingOrder="1"/>
    </xf>
    <xf numFmtId="0" fontId="2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top" wrapText="1"/>
    </xf>
    <xf numFmtId="0" fontId="44" fillId="2" borderId="0" xfId="0" quotePrefix="1" applyFont="1" applyFill="1" applyAlignment="1">
      <alignment horizontal="left" vertical="top" readingOrder="1"/>
    </xf>
    <xf numFmtId="0" fontId="44" fillId="2" borderId="0" xfId="0" applyFont="1" applyFill="1" applyAlignment="1">
      <alignment horizontal="left" vertical="top" readingOrder="1"/>
    </xf>
    <xf numFmtId="0" fontId="1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top" wrapText="1" readingOrder="1"/>
    </xf>
    <xf numFmtId="0" fontId="6" fillId="2" borderId="0" xfId="0" applyFont="1" applyFill="1" applyAlignment="1">
      <alignment vertical="top" wrapText="1" readingOrder="1"/>
    </xf>
    <xf numFmtId="0" fontId="18" fillId="2" borderId="0" xfId="0" applyFont="1" applyFill="1" applyAlignment="1">
      <alignment horizontal="left" vertical="center" wrapText="1"/>
    </xf>
    <xf numFmtId="0" fontId="43" fillId="2" borderId="0" xfId="0" quotePrefix="1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 wrapText="1" readingOrder="1"/>
    </xf>
    <xf numFmtId="0" fontId="6" fillId="2" borderId="0" xfId="0" applyFont="1" applyFill="1" applyAlignment="1">
      <alignment horizontal="left" vertical="distributed"/>
    </xf>
    <xf numFmtId="0" fontId="8" fillId="2" borderId="0" xfId="0" quotePrefix="1" applyFont="1" applyFill="1" applyAlignment="1">
      <alignment horizontal="left" vertical="top" wrapText="1" readingOrder="1"/>
    </xf>
    <xf numFmtId="0" fontId="22" fillId="2" borderId="0" xfId="0" applyFont="1" applyFill="1" applyAlignment="1">
      <alignment horizontal="left" vertical="center" wrapText="1"/>
    </xf>
    <xf numFmtId="167" fontId="6" fillId="2" borderId="0" xfId="2" applyNumberFormat="1" applyFont="1" applyFill="1" applyAlignment="1">
      <alignment horizontal="center" vertical="top"/>
    </xf>
    <xf numFmtId="165" fontId="3" fillId="0" borderId="0" xfId="0" applyNumberFormat="1" applyFont="1" applyAlignment="1">
      <alignment horizontal="right" vertical="top"/>
    </xf>
    <xf numFmtId="0" fontId="3" fillId="3" borderId="0" xfId="0" applyFont="1" applyFill="1" applyAlignment="1">
      <alignment horizontal="left" vertical="top" wrapText="1"/>
    </xf>
    <xf numFmtId="0" fontId="45" fillId="3" borderId="0" xfId="0" applyFont="1" applyFill="1" applyAlignment="1">
      <alignment horizontal="right" vertical="center"/>
    </xf>
    <xf numFmtId="0" fontId="7" fillId="2" borderId="0" xfId="0" applyFont="1" applyFill="1" applyAlignment="1">
      <alignment horizontal="center" vertical="top"/>
    </xf>
    <xf numFmtId="0" fontId="38" fillId="2" borderId="0" xfId="0" applyFont="1" applyFill="1" applyAlignment="1">
      <alignment horizontal="right" vertical="top"/>
    </xf>
    <xf numFmtId="0" fontId="18" fillId="2" borderId="0" xfId="0" applyFont="1" applyFill="1" applyAlignment="1">
      <alignment horizontal="left" vertical="top" wrapText="1"/>
    </xf>
    <xf numFmtId="0" fontId="18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center" wrapText="1"/>
    </xf>
    <xf numFmtId="0" fontId="45" fillId="2" borderId="0" xfId="0" applyFont="1" applyFill="1" applyAlignment="1">
      <alignment horizontal="right" vertical="top"/>
    </xf>
    <xf numFmtId="0" fontId="0" fillId="2" borderId="0" xfId="0" applyFill="1" applyAlignment="1">
      <alignment horizontal="left" vertical="center"/>
    </xf>
    <xf numFmtId="0" fontId="6" fillId="2" borderId="0" xfId="0" applyFont="1" applyFill="1" applyAlignment="1">
      <alignment horizontal="right" vertical="top" wrapText="1" readingOrder="1"/>
    </xf>
    <xf numFmtId="0" fontId="27" fillId="2" borderId="0" xfId="0" applyFont="1" applyFill="1" applyAlignment="1">
      <alignment horizontal="left" vertical="top" wrapText="1"/>
    </xf>
    <xf numFmtId="0" fontId="26" fillId="2" borderId="0" xfId="0" applyFont="1" applyFill="1" applyAlignment="1">
      <alignment horizontal="left"/>
    </xf>
    <xf numFmtId="0" fontId="9" fillId="2" borderId="0" xfId="0" applyFont="1" applyFill="1" applyAlignment="1">
      <alignment horizontal="center" vertical="top"/>
    </xf>
    <xf numFmtId="0" fontId="6" fillId="2" borderId="0" xfId="0" applyFont="1" applyFill="1" applyAlignment="1">
      <alignment horizontal="left" vertical="top" readingOrder="1"/>
    </xf>
    <xf numFmtId="0" fontId="18" fillId="3" borderId="0" xfId="0" quotePrefix="1" applyFont="1" applyFill="1" applyAlignment="1">
      <alignment horizontal="left" vertical="top" wrapText="1"/>
    </xf>
    <xf numFmtId="0" fontId="18" fillId="3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center"/>
    </xf>
  </cellXfs>
  <cellStyles count="3">
    <cellStyle name="Currency" xfId="2" builtinId="4"/>
    <cellStyle name="Normal" xfId="0" builtinId="0"/>
    <cellStyle name="Обычный_NEWDIS98_1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133349</xdr:colOff>
      <xdr:row>0</xdr:row>
      <xdr:rowOff>76200</xdr:rowOff>
    </xdr:from>
    <xdr:to>
      <xdr:col>12</xdr:col>
      <xdr:colOff>730249</xdr:colOff>
      <xdr:row>4</xdr:row>
      <xdr:rowOff>66675</xdr:rowOff>
    </xdr:to>
    <xdr:pic>
      <xdr:nvPicPr>
        <xdr:cNvPr id="4" name="Рисунок 3" descr="image00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7624" y="76200"/>
          <a:ext cx="2511425" cy="59055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460693</xdr:colOff>
      <xdr:row>48</xdr:row>
      <xdr:rowOff>28577</xdr:rowOff>
    </xdr:from>
    <xdr:to>
      <xdr:col>12</xdr:col>
      <xdr:colOff>838200</xdr:colOff>
      <xdr:row>56</xdr:row>
      <xdr:rowOff>136844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2F71A32B-1279-423E-9926-6F1B8CC81F2C}"/>
            </a:ext>
          </a:extLst>
        </xdr:cNvPr>
        <xdr:cNvPicPr/>
      </xdr:nvPicPr>
      <xdr:blipFill>
        <a:blip xmlns:r="http://schemas.openxmlformats.org/officeDocument/2006/relationships" r:embed="rId2">
          <a:lum bright="20000" contrast="-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4786313" y="8209282"/>
          <a:ext cx="1556067" cy="182530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114300</xdr:colOff>
      <xdr:row>0</xdr:row>
      <xdr:rowOff>9525</xdr:rowOff>
    </xdr:from>
    <xdr:to>
      <xdr:col>12</xdr:col>
      <xdr:colOff>904875</xdr:colOff>
      <xdr:row>3</xdr:row>
      <xdr:rowOff>0</xdr:rowOff>
    </xdr:to>
    <xdr:pic>
      <xdr:nvPicPr>
        <xdr:cNvPr id="2" name="Рисунок 1" descr="image0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100" y="9525"/>
          <a:ext cx="2152650" cy="590550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</xdr:rowOff>
    </xdr:from>
    <xdr:to>
      <xdr:col>13</xdr:col>
      <xdr:colOff>428625</xdr:colOff>
      <xdr:row>31</xdr:row>
      <xdr:rowOff>9525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69D01866-431B-4CC6-BDA2-303D1339DC3B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1"/>
          <a:ext cx="8229600" cy="59150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9"/>
  <sheetViews>
    <sheetView view="pageBreakPreview" zoomScaleNormal="100" zoomScaleSheetLayoutView="100" workbookViewId="0">
      <selection activeCell="H13" sqref="H13"/>
    </sheetView>
  </sheetViews>
  <sheetFormatPr defaultColWidth="6" defaultRowHeight="14.25" x14ac:dyDescent="0.2"/>
  <cols>
    <col min="1" max="1" width="8.7109375" style="2" bestFit="1" customWidth="1"/>
    <col min="2" max="2" width="6" style="2"/>
    <col min="3" max="3" width="4.28515625" style="2" customWidth="1"/>
    <col min="4" max="4" width="12.85546875" style="2" customWidth="1"/>
    <col min="5" max="8" width="6" style="2"/>
    <col min="9" max="9" width="7" style="2" customWidth="1"/>
    <col min="10" max="10" width="8.28515625" style="2" customWidth="1"/>
    <col min="11" max="12" width="6.7109375" style="2" customWidth="1"/>
    <col min="13" max="13" width="13" style="2" customWidth="1"/>
    <col min="14" max="16384" width="6" style="2"/>
  </cols>
  <sheetData>
    <row r="1" spans="1:18" ht="14.25" customHeight="1" x14ac:dyDescent="0.2">
      <c r="A1" s="92" t="s">
        <v>149</v>
      </c>
      <c r="B1" s="92"/>
      <c r="C1" s="92"/>
      <c r="D1" s="92"/>
      <c r="E1" s="92"/>
      <c r="F1" s="92"/>
      <c r="G1" s="92"/>
      <c r="H1" s="92"/>
      <c r="I1" s="92"/>
      <c r="J1" s="1"/>
      <c r="K1" s="1"/>
      <c r="L1" s="1"/>
      <c r="M1" s="1"/>
      <c r="N1" s="1"/>
      <c r="O1" s="1"/>
      <c r="P1" s="1"/>
      <c r="Q1" s="1"/>
      <c r="R1" s="1"/>
    </row>
    <row r="2" spans="1:18" ht="14.25" customHeight="1" x14ac:dyDescent="0.2">
      <c r="A2" s="92"/>
      <c r="B2" s="92"/>
      <c r="C2" s="92"/>
      <c r="D2" s="92"/>
      <c r="E2" s="92"/>
      <c r="F2" s="92"/>
      <c r="G2" s="92"/>
      <c r="H2" s="92"/>
      <c r="I2" s="92"/>
      <c r="J2" s="39"/>
      <c r="K2" s="39"/>
      <c r="L2" s="39"/>
      <c r="M2" s="39"/>
      <c r="N2" s="1"/>
      <c r="O2" s="1"/>
      <c r="P2" s="1"/>
      <c r="Q2" s="1"/>
      <c r="R2" s="1"/>
    </row>
    <row r="3" spans="1:18" ht="14.25" customHeight="1" x14ac:dyDescent="0.2">
      <c r="A3" s="92"/>
      <c r="B3" s="92"/>
      <c r="C3" s="92"/>
      <c r="D3" s="92"/>
      <c r="E3" s="92"/>
      <c r="F3" s="92"/>
      <c r="G3" s="92"/>
      <c r="H3" s="92"/>
      <c r="I3" s="92"/>
      <c r="J3" s="39"/>
      <c r="K3" s="39"/>
      <c r="L3" s="39"/>
      <c r="M3" s="39"/>
      <c r="N3" s="1"/>
      <c r="O3" s="1"/>
      <c r="P3" s="1"/>
      <c r="Q3" s="1"/>
      <c r="R3" s="1"/>
    </row>
    <row r="4" spans="1:18" ht="4.5" customHeight="1" x14ac:dyDescent="0.2">
      <c r="A4" s="92"/>
      <c r="B4" s="92"/>
      <c r="C4" s="92"/>
      <c r="D4" s="92"/>
      <c r="E4" s="92"/>
      <c r="F4" s="92"/>
      <c r="G4" s="92"/>
      <c r="H4" s="92"/>
      <c r="I4" s="92"/>
      <c r="J4" s="39"/>
      <c r="K4" s="39"/>
      <c r="L4" s="39"/>
      <c r="M4" s="39"/>
      <c r="N4" s="1"/>
      <c r="O4" s="1"/>
      <c r="P4" s="1"/>
      <c r="Q4" s="1"/>
      <c r="R4" s="1"/>
    </row>
    <row r="5" spans="1:18" ht="8.25" customHeight="1" x14ac:dyDescent="0.2"/>
    <row r="6" spans="1:18" ht="29.25" customHeight="1" x14ac:dyDescent="0.2">
      <c r="A6" s="85" t="s">
        <v>19</v>
      </c>
      <c r="B6" s="85"/>
      <c r="C6" s="100" t="s">
        <v>145</v>
      </c>
      <c r="D6" s="100"/>
      <c r="E6" s="100"/>
      <c r="F6" s="100"/>
      <c r="G6" s="100"/>
      <c r="H6" s="96" t="s">
        <v>69</v>
      </c>
      <c r="I6" s="96"/>
      <c r="J6" s="96"/>
      <c r="K6" s="96"/>
      <c r="L6" s="35" t="s">
        <v>59</v>
      </c>
      <c r="M6" s="46">
        <v>45905</v>
      </c>
      <c r="N6" s="4"/>
      <c r="O6" s="4"/>
      <c r="P6" s="4"/>
      <c r="Q6" s="4"/>
      <c r="R6" s="4"/>
    </row>
    <row r="7" spans="1:18" x14ac:dyDescent="0.2">
      <c r="A7" s="87" t="s">
        <v>150</v>
      </c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5"/>
      <c r="O7" s="5"/>
      <c r="P7" s="5"/>
      <c r="Q7" s="4"/>
      <c r="R7" s="4"/>
    </row>
    <row r="8" spans="1:18" ht="11.25" customHeight="1" x14ac:dyDescent="0.2">
      <c r="A8" s="91" t="s">
        <v>70</v>
      </c>
      <c r="B8" s="91"/>
      <c r="C8" s="91"/>
      <c r="D8" s="91"/>
      <c r="E8" s="88" t="s">
        <v>0</v>
      </c>
      <c r="F8" s="88"/>
      <c r="G8" s="88"/>
      <c r="H8" s="88"/>
      <c r="I8" s="91" t="s">
        <v>177</v>
      </c>
      <c r="J8" s="91"/>
      <c r="K8" s="91"/>
      <c r="L8" s="91"/>
      <c r="M8" s="91"/>
      <c r="N8" s="5"/>
      <c r="O8" s="5"/>
      <c r="P8" s="5"/>
      <c r="Q8" s="4"/>
      <c r="R8" s="4"/>
    </row>
    <row r="9" spans="1:18" ht="11.25" customHeight="1" x14ac:dyDescent="0.2">
      <c r="A9" s="94" t="s">
        <v>143</v>
      </c>
      <c r="B9" s="95"/>
      <c r="C9" s="95"/>
      <c r="D9" s="95"/>
      <c r="E9" s="83" t="s">
        <v>178</v>
      </c>
      <c r="F9" s="84"/>
      <c r="G9" s="84"/>
      <c r="H9" s="84"/>
      <c r="I9" s="101" t="s">
        <v>100</v>
      </c>
      <c r="J9" s="101"/>
      <c r="K9" s="101"/>
      <c r="L9" s="36"/>
      <c r="M9" s="5"/>
      <c r="N9" s="5"/>
      <c r="O9" s="5"/>
      <c r="P9" s="5"/>
      <c r="Q9" s="4"/>
      <c r="R9" s="4"/>
    </row>
    <row r="10" spans="1:18" ht="13.5" customHeight="1" x14ac:dyDescent="0.2">
      <c r="A10" s="87" t="s">
        <v>22</v>
      </c>
      <c r="B10" s="87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4"/>
      <c r="O10" s="4"/>
      <c r="P10" s="4"/>
      <c r="Q10" s="4"/>
      <c r="R10" s="4"/>
    </row>
    <row r="11" spans="1:18" ht="12.75" customHeight="1" x14ac:dyDescent="0.2">
      <c r="A11" s="86" t="s">
        <v>20</v>
      </c>
      <c r="B11" s="86"/>
      <c r="C11" s="17"/>
      <c r="D11" s="14" t="s">
        <v>46</v>
      </c>
      <c r="E11" s="97" t="s">
        <v>24</v>
      </c>
      <c r="F11" s="97"/>
      <c r="G11" s="97"/>
      <c r="H11" s="98" t="s">
        <v>21</v>
      </c>
      <c r="I11" s="98"/>
      <c r="J11" s="14" t="s">
        <v>29</v>
      </c>
      <c r="K11" s="14" t="s">
        <v>30</v>
      </c>
      <c r="L11" s="14" t="s">
        <v>31</v>
      </c>
      <c r="M11" s="14" t="s">
        <v>32</v>
      </c>
      <c r="N11" s="4"/>
      <c r="O11" s="4"/>
      <c r="P11" s="4"/>
      <c r="Q11" s="4"/>
      <c r="R11" s="4"/>
    </row>
    <row r="12" spans="1:18" ht="10.5" customHeight="1" x14ac:dyDescent="0.2">
      <c r="A12" s="99" t="s">
        <v>144</v>
      </c>
      <c r="B12" s="99"/>
      <c r="C12" s="99"/>
      <c r="D12" s="48">
        <v>9341897</v>
      </c>
      <c r="E12" s="89">
        <v>10000</v>
      </c>
      <c r="F12" s="89"/>
      <c r="G12" s="89"/>
      <c r="H12" s="90">
        <v>8000</v>
      </c>
      <c r="I12" s="90"/>
      <c r="J12" s="28">
        <v>119.95</v>
      </c>
      <c r="K12" s="28">
        <v>19.02</v>
      </c>
      <c r="L12" s="28">
        <v>10</v>
      </c>
      <c r="M12" s="28">
        <f>L12*K12*J12</f>
        <v>22814.489999999998</v>
      </c>
      <c r="N12" s="4"/>
      <c r="O12" s="4"/>
      <c r="P12" s="4"/>
      <c r="Q12" s="4"/>
      <c r="R12" s="4"/>
    </row>
    <row r="13" spans="1:18" ht="12" customHeight="1" x14ac:dyDescent="0.2">
      <c r="A13" s="87" t="s">
        <v>1</v>
      </c>
      <c r="B13" s="87"/>
      <c r="C13" s="87"/>
      <c r="D13" s="87"/>
      <c r="E13" s="87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4"/>
    </row>
    <row r="14" spans="1:18" ht="11.25" customHeight="1" x14ac:dyDescent="0.2">
      <c r="A14" s="86" t="s">
        <v>2</v>
      </c>
      <c r="B14" s="86"/>
      <c r="C14" s="86"/>
      <c r="D14" s="86" t="s">
        <v>3</v>
      </c>
      <c r="E14" s="86"/>
      <c r="F14" s="86"/>
      <c r="G14" s="86"/>
      <c r="H14" s="86"/>
      <c r="I14" s="86" t="s">
        <v>47</v>
      </c>
      <c r="J14" s="86"/>
      <c r="K14" s="86"/>
      <c r="L14" s="97" t="s">
        <v>4</v>
      </c>
      <c r="M14" s="97"/>
      <c r="N14" s="6"/>
      <c r="O14" s="6"/>
      <c r="P14" s="6"/>
      <c r="Q14" s="6"/>
      <c r="R14" s="4"/>
    </row>
    <row r="15" spans="1:18" ht="21" customHeight="1" x14ac:dyDescent="0.2">
      <c r="A15" s="93" t="s">
        <v>16</v>
      </c>
      <c r="B15" s="93"/>
      <c r="C15" s="93"/>
      <c r="D15" s="74" t="s">
        <v>5</v>
      </c>
      <c r="E15" s="74"/>
      <c r="F15" s="74"/>
      <c r="G15" s="74"/>
      <c r="H15" s="74"/>
      <c r="I15" s="15" t="s">
        <v>146</v>
      </c>
      <c r="J15" s="80" t="s">
        <v>85</v>
      </c>
      <c r="K15" s="80"/>
      <c r="L15" s="76">
        <f>H12*1.15</f>
        <v>9200</v>
      </c>
      <c r="M15" s="76"/>
      <c r="N15" s="6"/>
      <c r="O15" s="6"/>
      <c r="P15" s="6"/>
      <c r="Q15" s="6"/>
      <c r="R15" s="4"/>
    </row>
    <row r="16" spans="1:18" ht="11.25" customHeight="1" x14ac:dyDescent="0.2">
      <c r="A16" s="13"/>
      <c r="B16" s="13"/>
      <c r="C16" s="13"/>
      <c r="D16" s="74" t="s">
        <v>7</v>
      </c>
      <c r="E16" s="74"/>
      <c r="F16" s="74"/>
      <c r="G16" s="74"/>
      <c r="H16" s="74"/>
      <c r="I16" s="16" t="s">
        <v>136</v>
      </c>
      <c r="J16" s="82" t="s">
        <v>93</v>
      </c>
      <c r="K16" s="82"/>
      <c r="L16" s="76">
        <f>H12*0.15</f>
        <v>1200</v>
      </c>
      <c r="M16" s="76"/>
      <c r="N16" s="6"/>
      <c r="O16" s="6"/>
      <c r="P16" s="6"/>
      <c r="Q16" s="6"/>
      <c r="R16" s="4"/>
    </row>
    <row r="17" spans="1:18" ht="11.25" customHeight="1" x14ac:dyDescent="0.2">
      <c r="A17" s="13"/>
      <c r="B17" s="13"/>
      <c r="C17" s="13"/>
      <c r="D17" s="74" t="s">
        <v>11</v>
      </c>
      <c r="E17" s="74"/>
      <c r="F17" s="74"/>
      <c r="G17" s="74"/>
      <c r="H17" s="74"/>
      <c r="I17" s="16" t="s">
        <v>138</v>
      </c>
      <c r="J17" s="9" t="s">
        <v>94</v>
      </c>
      <c r="K17" s="9"/>
      <c r="L17" s="76">
        <f>H12*0.32</f>
        <v>2560</v>
      </c>
      <c r="M17" s="76"/>
      <c r="N17" s="6"/>
      <c r="O17" s="6"/>
      <c r="P17" s="6"/>
      <c r="Q17" s="6"/>
      <c r="R17" s="4"/>
    </row>
    <row r="18" spans="1:18" ht="12" customHeight="1" x14ac:dyDescent="0.2">
      <c r="A18" s="13"/>
      <c r="B18" s="13"/>
      <c r="C18" s="13"/>
      <c r="D18" s="74" t="s">
        <v>12</v>
      </c>
      <c r="E18" s="74"/>
      <c r="F18" s="74"/>
      <c r="G18" s="74"/>
      <c r="H18" s="74"/>
      <c r="I18" s="16" t="s">
        <v>138</v>
      </c>
      <c r="J18" s="9" t="s">
        <v>93</v>
      </c>
      <c r="K18" s="9"/>
      <c r="L18" s="76">
        <f>H12*0.32</f>
        <v>2560</v>
      </c>
      <c r="M18" s="76"/>
      <c r="N18" s="6"/>
      <c r="O18" s="6"/>
      <c r="P18" s="6"/>
      <c r="Q18" s="6"/>
      <c r="R18" s="4"/>
    </row>
    <row r="19" spans="1:18" ht="12.75" customHeight="1" x14ac:dyDescent="0.2">
      <c r="A19" s="13"/>
      <c r="B19" s="13"/>
      <c r="C19" s="13"/>
      <c r="D19" s="77" t="s">
        <v>9</v>
      </c>
      <c r="E19" s="77"/>
      <c r="F19" s="77"/>
      <c r="G19" s="77"/>
      <c r="H19" s="77"/>
      <c r="I19" s="16" t="s">
        <v>83</v>
      </c>
      <c r="J19" s="9"/>
      <c r="K19" s="9"/>
      <c r="L19" s="76">
        <v>250</v>
      </c>
      <c r="M19" s="76"/>
      <c r="N19" s="6"/>
      <c r="O19" s="6"/>
      <c r="P19" s="6"/>
      <c r="Q19" s="6"/>
      <c r="R19" s="4"/>
    </row>
    <row r="20" spans="1:18" ht="15" x14ac:dyDescent="0.2">
      <c r="A20" s="13"/>
      <c r="B20" s="13"/>
      <c r="C20" s="13"/>
      <c r="D20" s="77" t="s">
        <v>10</v>
      </c>
      <c r="E20" s="77"/>
      <c r="F20" s="77"/>
      <c r="G20" s="77"/>
      <c r="H20" s="77"/>
      <c r="I20" s="16" t="s">
        <v>83</v>
      </c>
      <c r="J20" s="9"/>
      <c r="K20" s="9"/>
      <c r="L20" s="76">
        <v>250</v>
      </c>
      <c r="M20" s="76"/>
      <c r="N20" s="6"/>
      <c r="O20" s="6"/>
      <c r="P20" s="6"/>
      <c r="Q20" s="6"/>
      <c r="R20" s="4"/>
    </row>
    <row r="21" spans="1:18" ht="15" customHeight="1" x14ac:dyDescent="0.2">
      <c r="A21" s="13"/>
      <c r="B21" s="13"/>
      <c r="C21" s="13"/>
      <c r="D21" s="74" t="s">
        <v>8</v>
      </c>
      <c r="E21" s="74"/>
      <c r="F21" s="74"/>
      <c r="G21" s="74"/>
      <c r="H21" s="74"/>
      <c r="I21" s="16" t="s">
        <v>137</v>
      </c>
      <c r="J21" s="9" t="s">
        <v>24</v>
      </c>
      <c r="K21" s="9"/>
      <c r="L21" s="76">
        <f>H12*0.1</f>
        <v>800</v>
      </c>
      <c r="M21" s="76"/>
      <c r="N21" s="6"/>
      <c r="O21" s="6"/>
      <c r="P21" s="6"/>
      <c r="Q21" s="6"/>
      <c r="R21" s="4"/>
    </row>
    <row r="22" spans="1:18" ht="15" x14ac:dyDescent="0.2">
      <c r="A22" s="13"/>
      <c r="B22" s="13"/>
      <c r="C22" s="13"/>
      <c r="D22" s="74" t="s">
        <v>13</v>
      </c>
      <c r="E22" s="74"/>
      <c r="F22" s="74"/>
      <c r="G22" s="74"/>
      <c r="H22" s="74"/>
      <c r="I22" s="16" t="s">
        <v>23</v>
      </c>
      <c r="J22" s="9" t="s">
        <v>24</v>
      </c>
      <c r="K22" s="9"/>
      <c r="L22" s="76">
        <f>H12*0.07</f>
        <v>560</v>
      </c>
      <c r="M22" s="76"/>
      <c r="N22" s="6"/>
      <c r="O22" s="6"/>
      <c r="P22" s="6"/>
      <c r="Q22" s="6"/>
      <c r="R22" s="4"/>
    </row>
    <row r="23" spans="1:18" ht="15" x14ac:dyDescent="0.2">
      <c r="A23" s="13"/>
      <c r="B23" s="13"/>
      <c r="C23" s="13"/>
      <c r="D23" s="74" t="s">
        <v>25</v>
      </c>
      <c r="E23" s="74"/>
      <c r="F23" s="74"/>
      <c r="G23" s="74"/>
      <c r="H23" s="74"/>
      <c r="I23" s="16" t="s">
        <v>139</v>
      </c>
      <c r="J23" s="9" t="s">
        <v>26</v>
      </c>
      <c r="K23" s="9"/>
      <c r="L23" s="76">
        <v>1500</v>
      </c>
      <c r="M23" s="76"/>
      <c r="N23" s="6"/>
      <c r="O23" s="6"/>
      <c r="P23" s="6"/>
      <c r="Q23" s="6"/>
      <c r="R23" s="4"/>
    </row>
    <row r="24" spans="1:18" ht="21.75" customHeight="1" x14ac:dyDescent="0.2">
      <c r="A24" s="13"/>
      <c r="B24" s="13"/>
      <c r="C24" s="13"/>
      <c r="D24" s="74" t="s">
        <v>43</v>
      </c>
      <c r="E24" s="74"/>
      <c r="F24" s="74"/>
      <c r="G24" s="74"/>
      <c r="H24" s="74"/>
      <c r="I24" s="50" t="s">
        <v>92</v>
      </c>
      <c r="J24" s="81" t="s">
        <v>76</v>
      </c>
      <c r="K24" s="81"/>
      <c r="L24" s="76">
        <v>0</v>
      </c>
      <c r="M24" s="76"/>
      <c r="N24" s="6"/>
      <c r="O24" s="6"/>
      <c r="P24" s="6"/>
      <c r="Q24" s="6"/>
      <c r="R24" s="4"/>
    </row>
    <row r="25" spans="1:18" ht="21" x14ac:dyDescent="0.2">
      <c r="A25" s="13"/>
      <c r="B25" s="13"/>
      <c r="C25" s="13"/>
      <c r="D25" s="74" t="s">
        <v>68</v>
      </c>
      <c r="E25" s="74"/>
      <c r="F25" s="74"/>
      <c r="G25" s="74"/>
      <c r="H25" s="74"/>
      <c r="I25" s="8" t="s">
        <v>44</v>
      </c>
      <c r="J25" s="80" t="s">
        <v>50</v>
      </c>
      <c r="K25" s="80"/>
      <c r="L25" s="76">
        <f>H12*0.07</f>
        <v>560</v>
      </c>
      <c r="M25" s="76"/>
      <c r="N25" s="6"/>
      <c r="O25" s="6"/>
      <c r="P25" s="6"/>
      <c r="Q25" s="6"/>
      <c r="R25" s="4"/>
    </row>
    <row r="26" spans="1:18" ht="15" x14ac:dyDescent="0.2">
      <c r="A26" s="13" t="s">
        <v>17</v>
      </c>
      <c r="B26" s="13"/>
      <c r="C26" s="13"/>
      <c r="D26" s="74" t="s">
        <v>78</v>
      </c>
      <c r="E26" s="74"/>
      <c r="F26" s="74"/>
      <c r="G26" s="74"/>
      <c r="H26" s="74"/>
      <c r="I26" s="9" t="s">
        <v>121</v>
      </c>
      <c r="J26" s="9" t="s">
        <v>32</v>
      </c>
      <c r="K26" s="9"/>
      <c r="L26" s="76">
        <f>(M12*0.03)+(M12*0.03)*0.25</f>
        <v>855.54337499999986</v>
      </c>
      <c r="M26" s="76"/>
      <c r="N26" s="6"/>
      <c r="O26" s="6"/>
      <c r="P26" s="6"/>
      <c r="Q26" s="6"/>
      <c r="R26" s="4"/>
    </row>
    <row r="27" spans="1:18" ht="15" x14ac:dyDescent="0.2">
      <c r="A27" s="13"/>
      <c r="B27" s="13"/>
      <c r="C27" s="13"/>
      <c r="D27" s="74" t="s">
        <v>79</v>
      </c>
      <c r="E27" s="74"/>
      <c r="F27" s="74"/>
      <c r="G27" s="74"/>
      <c r="H27" s="74"/>
      <c r="I27" s="9" t="s">
        <v>121</v>
      </c>
      <c r="J27" s="9" t="s">
        <v>32</v>
      </c>
      <c r="K27" s="9"/>
      <c r="L27" s="76">
        <f>(M12*0.03)+(M12*0.03)*0.25</f>
        <v>855.54337499999986</v>
      </c>
      <c r="M27" s="76"/>
      <c r="N27" s="6"/>
      <c r="O27" s="6"/>
      <c r="P27" s="6"/>
      <c r="Q27" s="6"/>
      <c r="R27" s="4"/>
    </row>
    <row r="28" spans="1:18" ht="15" customHeight="1" x14ac:dyDescent="0.25">
      <c r="A28" s="102" t="s">
        <v>77</v>
      </c>
      <c r="B28" s="102"/>
      <c r="C28" s="102"/>
      <c r="D28" s="77" t="s">
        <v>6</v>
      </c>
      <c r="E28" s="77"/>
      <c r="F28" s="77"/>
      <c r="G28" s="77"/>
      <c r="H28" s="77"/>
      <c r="I28" s="40" t="s">
        <v>40</v>
      </c>
      <c r="J28" s="38"/>
      <c r="K28" s="38"/>
      <c r="L28" s="76">
        <f>1130.56/2.68</f>
        <v>421.85074626865668</v>
      </c>
      <c r="M28" s="76"/>
      <c r="N28" s="6"/>
      <c r="O28" s="6"/>
      <c r="P28" s="6"/>
      <c r="Q28" s="6"/>
      <c r="R28" s="4"/>
    </row>
    <row r="29" spans="1:18" ht="15" customHeight="1" x14ac:dyDescent="0.25">
      <c r="A29" s="102"/>
      <c r="B29" s="102"/>
      <c r="C29" s="102"/>
      <c r="D29" s="74" t="s">
        <v>14</v>
      </c>
      <c r="E29" s="74"/>
      <c r="F29" s="74"/>
      <c r="G29" s="74"/>
      <c r="H29" s="74"/>
      <c r="I29" s="38" t="s">
        <v>40</v>
      </c>
      <c r="J29" s="38"/>
      <c r="K29" s="10"/>
      <c r="L29" s="76">
        <f>1276/2.68</f>
        <v>476.1194029850746</v>
      </c>
      <c r="M29" s="76"/>
      <c r="N29" s="6"/>
      <c r="O29" s="6"/>
      <c r="P29" s="6"/>
      <c r="Q29" s="6"/>
      <c r="R29" s="4"/>
    </row>
    <row r="30" spans="1:18" ht="15" customHeight="1" x14ac:dyDescent="0.2">
      <c r="A30" s="13"/>
      <c r="B30" s="13"/>
      <c r="C30" s="13"/>
      <c r="D30" s="74" t="s">
        <v>15</v>
      </c>
      <c r="E30" s="74"/>
      <c r="F30" s="74"/>
      <c r="G30" s="74"/>
      <c r="H30" s="74"/>
      <c r="I30" s="78" t="s">
        <v>33</v>
      </c>
      <c r="J30" s="78"/>
      <c r="K30" s="10"/>
      <c r="L30" s="76">
        <f>580/2.68</f>
        <v>216.41791044776119</v>
      </c>
      <c r="M30" s="76"/>
      <c r="N30" s="6"/>
      <c r="O30" s="6"/>
      <c r="P30" s="6"/>
      <c r="Q30" s="6"/>
      <c r="R30" s="4"/>
    </row>
    <row r="31" spans="1:18" ht="15" customHeight="1" x14ac:dyDescent="0.2">
      <c r="A31" s="13"/>
      <c r="B31" s="13"/>
      <c r="C31" s="13"/>
      <c r="D31" s="107" t="s">
        <v>62</v>
      </c>
      <c r="E31" s="107"/>
      <c r="F31" s="107"/>
      <c r="G31" s="107"/>
      <c r="H31" s="107"/>
      <c r="I31" s="79" t="s">
        <v>151</v>
      </c>
      <c r="J31" s="79"/>
      <c r="K31" s="79"/>
      <c r="L31" s="75">
        <f>H12*0.16/2.68</f>
        <v>477.61194029850742</v>
      </c>
      <c r="M31" s="75"/>
      <c r="N31" s="6"/>
      <c r="O31" s="6"/>
      <c r="P31" s="6"/>
      <c r="Q31" s="6"/>
      <c r="R31" s="4"/>
    </row>
    <row r="32" spans="1:18" ht="14.25" customHeight="1" x14ac:dyDescent="0.2">
      <c r="A32" s="13" t="s">
        <v>18</v>
      </c>
      <c r="B32" s="13"/>
      <c r="C32" s="13"/>
      <c r="D32" s="74" t="s">
        <v>86</v>
      </c>
      <c r="E32" s="74"/>
      <c r="F32" s="74"/>
      <c r="G32" s="74"/>
      <c r="H32" s="74"/>
      <c r="I32" s="9" t="s">
        <v>87</v>
      </c>
      <c r="J32" s="9"/>
      <c r="K32" s="10"/>
      <c r="L32" s="76">
        <f>E12*0.09</f>
        <v>900</v>
      </c>
      <c r="M32" s="76"/>
      <c r="N32" s="6"/>
      <c r="O32" s="6"/>
      <c r="P32" s="6"/>
      <c r="Q32" s="6"/>
      <c r="R32" s="4"/>
    </row>
    <row r="33" spans="1:18" ht="15" customHeight="1" x14ac:dyDescent="0.2">
      <c r="A33" s="13" t="s">
        <v>75</v>
      </c>
      <c r="B33" s="13"/>
      <c r="C33" s="13"/>
      <c r="D33" s="74" t="s">
        <v>73</v>
      </c>
      <c r="E33" s="74"/>
      <c r="F33" s="74"/>
      <c r="G33" s="74"/>
      <c r="H33" s="74"/>
      <c r="I33" s="9" t="s">
        <v>72</v>
      </c>
      <c r="J33" s="9"/>
      <c r="K33" s="10"/>
      <c r="L33" s="106">
        <v>1801.74</v>
      </c>
      <c r="M33" s="106"/>
      <c r="N33" s="6"/>
      <c r="O33" s="6"/>
      <c r="P33" s="6"/>
      <c r="Q33" s="6"/>
      <c r="R33" s="4"/>
    </row>
    <row r="34" spans="1:18" ht="13.5" customHeight="1" x14ac:dyDescent="0.2">
      <c r="A34" s="13"/>
      <c r="B34" s="13"/>
      <c r="C34" s="13"/>
      <c r="D34" s="6"/>
      <c r="E34" s="6"/>
      <c r="F34" s="6"/>
      <c r="G34" s="6"/>
      <c r="H34" s="6"/>
      <c r="I34" s="6"/>
      <c r="J34" s="6"/>
      <c r="K34" s="18" t="s">
        <v>58</v>
      </c>
      <c r="L34" s="105">
        <f>SUM(L15:M33)</f>
        <v>25444.826750000004</v>
      </c>
      <c r="M34" s="105"/>
      <c r="N34" s="6"/>
      <c r="O34" s="6"/>
      <c r="P34" s="6"/>
      <c r="Q34" s="6"/>
      <c r="R34" s="4"/>
    </row>
    <row r="35" spans="1:18" ht="14.25" customHeight="1" x14ac:dyDescent="0.2">
      <c r="A35" s="6"/>
      <c r="B35" s="6"/>
      <c r="C35" s="6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6"/>
      <c r="O35" s="6"/>
      <c r="P35" s="6"/>
      <c r="Q35" s="6"/>
      <c r="R35" s="4"/>
    </row>
    <row r="36" spans="1:18" ht="11.25" customHeight="1" x14ac:dyDescent="0.2">
      <c r="A36" s="104" t="s">
        <v>74</v>
      </c>
      <c r="B36" s="104"/>
      <c r="C36" s="104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6"/>
      <c r="O36" s="6"/>
      <c r="P36" s="6"/>
      <c r="Q36" s="6"/>
      <c r="R36" s="4"/>
    </row>
    <row r="37" spans="1:18" ht="12.75" customHeight="1" x14ac:dyDescent="0.2">
      <c r="A37" s="103" t="s">
        <v>67</v>
      </c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7"/>
      <c r="O37" s="7"/>
      <c r="P37" s="7"/>
      <c r="Q37" s="7"/>
      <c r="R37" s="4"/>
    </row>
    <row r="38" spans="1:18" ht="9.75" customHeight="1" x14ac:dyDescent="0.2">
      <c r="A38" s="103" t="s">
        <v>45</v>
      </c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1"/>
      <c r="O38" s="11"/>
      <c r="P38" s="11"/>
      <c r="Q38" s="11"/>
      <c r="R38" s="4"/>
    </row>
    <row r="39" spans="1:18" ht="11.25" customHeight="1" x14ac:dyDescent="0.2">
      <c r="A39" s="22" t="s">
        <v>48</v>
      </c>
      <c r="B39" s="3"/>
      <c r="C39" s="3"/>
      <c r="D39" s="24"/>
      <c r="E39" s="24"/>
      <c r="F39" s="3"/>
      <c r="G39" s="3"/>
      <c r="H39" s="3"/>
      <c r="I39" s="3"/>
      <c r="J39" s="3"/>
      <c r="K39" s="3"/>
      <c r="L39" s="3"/>
      <c r="M39" s="3"/>
      <c r="N39" s="4"/>
      <c r="O39" s="4"/>
      <c r="P39" s="4"/>
      <c r="Q39" s="4"/>
      <c r="R39" s="4"/>
    </row>
    <row r="40" spans="1:18" ht="9.75" customHeight="1" x14ac:dyDescent="0.2">
      <c r="A40" s="22" t="s">
        <v>49</v>
      </c>
      <c r="B40" s="23"/>
      <c r="C40" s="24"/>
      <c r="D40" s="21"/>
      <c r="E40" s="21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 spans="1:18" x14ac:dyDescent="0.2">
      <c r="A41" s="19"/>
      <c r="B41" s="20"/>
      <c r="C41" s="21"/>
      <c r="D41" s="21"/>
      <c r="E41" s="21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spans="1:18" x14ac:dyDescent="0.2">
      <c r="A42" s="69" t="s">
        <v>90</v>
      </c>
      <c r="B42" s="20"/>
      <c r="C42" s="70"/>
      <c r="D42" s="70"/>
      <c r="E42" s="70"/>
      <c r="F42" s="49"/>
      <c r="G42" s="49"/>
      <c r="H42" s="49"/>
      <c r="I42" s="49"/>
      <c r="J42" s="49"/>
      <c r="K42" s="49"/>
      <c r="L42" s="4"/>
      <c r="M42" s="4"/>
      <c r="N42" s="4"/>
      <c r="O42" s="4"/>
      <c r="P42" s="4"/>
      <c r="Q42" s="4"/>
      <c r="R42" s="4"/>
    </row>
    <row r="43" spans="1:18" x14ac:dyDescent="0.2">
      <c r="A43" s="68" t="s">
        <v>91</v>
      </c>
      <c r="B43" s="20"/>
      <c r="C43" s="70"/>
      <c r="D43" s="70"/>
      <c r="E43" s="70"/>
      <c r="F43" s="49"/>
      <c r="G43" s="49"/>
      <c r="H43" s="49"/>
      <c r="I43" s="49"/>
      <c r="J43" s="49"/>
      <c r="K43" s="49"/>
      <c r="L43" s="4"/>
      <c r="M43" s="4"/>
      <c r="N43" s="4"/>
      <c r="O43" s="4"/>
      <c r="P43" s="4"/>
      <c r="Q43" s="4"/>
      <c r="R43" s="4"/>
    </row>
    <row r="44" spans="1:18" x14ac:dyDescent="0.2">
      <c r="A44" s="68" t="s">
        <v>140</v>
      </c>
      <c r="B44" s="20"/>
      <c r="C44" s="70"/>
      <c r="D44" s="70"/>
      <c r="E44" s="70"/>
      <c r="F44" s="49"/>
      <c r="G44" s="49"/>
      <c r="H44" s="49"/>
      <c r="I44" s="49"/>
      <c r="J44" s="49"/>
      <c r="K44" s="49"/>
      <c r="L44" s="4"/>
      <c r="M44" s="4"/>
      <c r="N44" s="4"/>
      <c r="O44" s="4"/>
      <c r="P44" s="4"/>
      <c r="Q44" s="4"/>
      <c r="R44" s="4"/>
    </row>
    <row r="45" spans="1:18" x14ac:dyDescent="0.2">
      <c r="A45" s="68" t="s">
        <v>141</v>
      </c>
      <c r="B45" s="20"/>
      <c r="C45" s="70"/>
      <c r="D45" s="49"/>
      <c r="E45" s="49"/>
      <c r="F45" s="49"/>
      <c r="G45" s="49"/>
      <c r="H45" s="49"/>
      <c r="I45" s="49"/>
      <c r="J45" s="49"/>
      <c r="K45" s="49"/>
      <c r="L45" s="4"/>
      <c r="M45" s="4"/>
      <c r="N45" s="4"/>
      <c r="O45" s="4"/>
      <c r="P45" s="4"/>
      <c r="Q45" s="4"/>
      <c r="R45" s="4"/>
    </row>
    <row r="46" spans="1:18" x14ac:dyDescent="0.2">
      <c r="A46" s="68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spans="1:18" ht="0.75" customHeight="1" x14ac:dyDescent="0.2">
      <c r="A47" s="68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spans="1:18" x14ac:dyDescent="0.2">
      <c r="A48" s="25" t="s">
        <v>142</v>
      </c>
      <c r="B48" s="4"/>
      <c r="C48" s="4"/>
      <c r="D48" s="29"/>
      <c r="E48" s="29"/>
      <c r="F48" s="29"/>
      <c r="G48" s="29"/>
      <c r="H48" s="29"/>
      <c r="I48" s="29"/>
      <c r="J48" s="3"/>
      <c r="K48" s="3"/>
      <c r="L48" s="3"/>
      <c r="M48" s="3"/>
      <c r="N48" s="4"/>
      <c r="O48" s="4"/>
      <c r="P48" s="4"/>
      <c r="Q48" s="4"/>
      <c r="R48" s="4"/>
    </row>
    <row r="49" spans="1:18" x14ac:dyDescent="0.2">
      <c r="A49" s="3" t="s">
        <v>51</v>
      </c>
      <c r="B49" s="29" t="s">
        <v>135</v>
      </c>
      <c r="C49" s="29"/>
      <c r="D49" s="29"/>
      <c r="E49" s="29"/>
      <c r="F49" s="29"/>
      <c r="G49" s="29"/>
      <c r="H49" s="29"/>
      <c r="I49" s="32"/>
      <c r="J49" s="3"/>
      <c r="K49" s="3"/>
      <c r="L49" s="3"/>
      <c r="M49" s="3"/>
      <c r="N49" s="4"/>
      <c r="O49" s="4"/>
      <c r="P49" s="4"/>
      <c r="Q49" s="4"/>
      <c r="R49" s="4"/>
    </row>
    <row r="50" spans="1:18" x14ac:dyDescent="0.2">
      <c r="A50" s="3"/>
      <c r="B50" s="29" t="s">
        <v>71</v>
      </c>
      <c r="C50" s="29"/>
      <c r="D50" s="30"/>
      <c r="E50" s="30"/>
      <c r="F50" s="30"/>
      <c r="G50" s="30"/>
      <c r="H50" s="30"/>
      <c r="I50" s="30"/>
      <c r="J50" s="4"/>
      <c r="K50" s="4"/>
      <c r="L50" s="4"/>
      <c r="M50" s="4"/>
      <c r="N50" s="4"/>
      <c r="O50" s="4"/>
      <c r="P50" s="4"/>
      <c r="Q50" s="4"/>
      <c r="R50" s="4"/>
    </row>
    <row r="51" spans="1:18" x14ac:dyDescent="0.2">
      <c r="A51" s="26"/>
      <c r="B51" s="29" t="s">
        <v>80</v>
      </c>
      <c r="C51" s="30"/>
      <c r="D51" s="30"/>
      <c r="E51" s="30"/>
      <c r="F51" s="30"/>
      <c r="G51" s="30"/>
      <c r="H51" s="30"/>
      <c r="I51" s="30"/>
      <c r="J51" s="4"/>
      <c r="K51" s="4"/>
      <c r="L51" s="4"/>
      <c r="M51" s="4"/>
      <c r="N51" s="4"/>
      <c r="O51" s="4"/>
      <c r="P51" s="4"/>
      <c r="Q51" s="4"/>
      <c r="R51" s="4"/>
    </row>
    <row r="52" spans="1:18" x14ac:dyDescent="0.2">
      <c r="A52" s="26"/>
      <c r="B52" s="29" t="s">
        <v>134</v>
      </c>
      <c r="C52" s="30"/>
      <c r="D52" s="30"/>
      <c r="E52" s="30"/>
      <c r="F52" s="30"/>
      <c r="G52" s="30"/>
      <c r="H52" s="30"/>
      <c r="I52" s="30"/>
      <c r="J52" s="4"/>
      <c r="K52" s="4"/>
      <c r="L52" s="4"/>
      <c r="M52" s="4"/>
      <c r="N52" s="4"/>
      <c r="O52" s="4"/>
      <c r="P52" s="4"/>
      <c r="Q52" s="4"/>
      <c r="R52" s="4"/>
    </row>
    <row r="53" spans="1:18" x14ac:dyDescent="0.2">
      <c r="A53" s="26" t="s">
        <v>52</v>
      </c>
      <c r="B53" s="30"/>
      <c r="C53" s="30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spans="1:18" x14ac:dyDescent="0.2">
      <c r="A54" s="3" t="s">
        <v>53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  <row r="55" spans="1:18" x14ac:dyDescent="0.2">
      <c r="A55" s="3" t="s">
        <v>54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</row>
    <row r="56" spans="1:18" x14ac:dyDescent="0.2">
      <c r="A56" s="3" t="s">
        <v>55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 spans="1:18" x14ac:dyDescent="0.2">
      <c r="A57" s="3" t="s">
        <v>56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</row>
    <row r="58" spans="1:18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</row>
    <row r="59" spans="1:18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</row>
    <row r="60" spans="1:18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</row>
    <row r="61" spans="1:18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</row>
    <row r="62" spans="1:18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</row>
    <row r="63" spans="1:18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</row>
    <row r="64" spans="1:18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</row>
    <row r="65" spans="1:18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</row>
    <row r="66" spans="1:18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</row>
    <row r="67" spans="1:18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</row>
    <row r="68" spans="1:18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</row>
    <row r="69" spans="1:18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</row>
    <row r="70" spans="1:18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</row>
    <row r="71" spans="1:18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</row>
    <row r="72" spans="1:18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</row>
    <row r="73" spans="1:18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</row>
    <row r="74" spans="1:18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</row>
    <row r="75" spans="1:18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</row>
    <row r="76" spans="1:18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</row>
    <row r="77" spans="1:18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</row>
    <row r="78" spans="1:18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</row>
    <row r="79" spans="1:18" x14ac:dyDescent="0.2">
      <c r="A79" s="4"/>
      <c r="B79" s="4"/>
      <c r="C79" s="4"/>
      <c r="N79" s="4"/>
      <c r="O79" s="4"/>
      <c r="P79" s="4"/>
      <c r="Q79" s="4"/>
      <c r="R79" s="4"/>
    </row>
  </sheetData>
  <mergeCells count="73">
    <mergeCell ref="A28:C29"/>
    <mergeCell ref="A38:M38"/>
    <mergeCell ref="A36:M36"/>
    <mergeCell ref="A37:M37"/>
    <mergeCell ref="L34:M34"/>
    <mergeCell ref="L33:M33"/>
    <mergeCell ref="D33:H33"/>
    <mergeCell ref="L32:M32"/>
    <mergeCell ref="D31:H31"/>
    <mergeCell ref="D18:H18"/>
    <mergeCell ref="D15:H15"/>
    <mergeCell ref="D22:H22"/>
    <mergeCell ref="D21:H21"/>
    <mergeCell ref="D24:H24"/>
    <mergeCell ref="D23:H23"/>
    <mergeCell ref="D19:H19"/>
    <mergeCell ref="D20:H20"/>
    <mergeCell ref="D16:H16"/>
    <mergeCell ref="D17:H17"/>
    <mergeCell ref="A1:I4"/>
    <mergeCell ref="A15:C15"/>
    <mergeCell ref="I14:K14"/>
    <mergeCell ref="A9:D9"/>
    <mergeCell ref="H6:K6"/>
    <mergeCell ref="A10:M10"/>
    <mergeCell ref="E11:G11"/>
    <mergeCell ref="H11:I11"/>
    <mergeCell ref="L14:M14"/>
    <mergeCell ref="A11:B11"/>
    <mergeCell ref="A12:C12"/>
    <mergeCell ref="L15:M15"/>
    <mergeCell ref="C6:G6"/>
    <mergeCell ref="J15:K15"/>
    <mergeCell ref="A8:D8"/>
    <mergeCell ref="I9:K9"/>
    <mergeCell ref="E9:H9"/>
    <mergeCell ref="A6:B6"/>
    <mergeCell ref="D14:H14"/>
    <mergeCell ref="A7:M7"/>
    <mergeCell ref="E8:H8"/>
    <mergeCell ref="E12:G12"/>
    <mergeCell ref="A13:E13"/>
    <mergeCell ref="A14:C14"/>
    <mergeCell ref="H12:I12"/>
    <mergeCell ref="I8:M8"/>
    <mergeCell ref="L16:M16"/>
    <mergeCell ref="L17:M17"/>
    <mergeCell ref="L21:M21"/>
    <mergeCell ref="L22:M22"/>
    <mergeCell ref="J16:K16"/>
    <mergeCell ref="L18:M18"/>
    <mergeCell ref="L20:M20"/>
    <mergeCell ref="L19:M19"/>
    <mergeCell ref="L23:M23"/>
    <mergeCell ref="L24:M24"/>
    <mergeCell ref="L25:M25"/>
    <mergeCell ref="J25:K25"/>
    <mergeCell ref="J24:K24"/>
    <mergeCell ref="D25:H25"/>
    <mergeCell ref="L31:M31"/>
    <mergeCell ref="L30:M30"/>
    <mergeCell ref="D32:H32"/>
    <mergeCell ref="L26:M26"/>
    <mergeCell ref="L29:M29"/>
    <mergeCell ref="D26:H26"/>
    <mergeCell ref="D27:H27"/>
    <mergeCell ref="L27:M27"/>
    <mergeCell ref="D28:H28"/>
    <mergeCell ref="D29:H29"/>
    <mergeCell ref="I30:J30"/>
    <mergeCell ref="D30:H30"/>
    <mergeCell ref="L28:M28"/>
    <mergeCell ref="I31:K31"/>
  </mergeCells>
  <phoneticPr fontId="16" type="noConversion"/>
  <pageMargins left="0.625" right="6.1274509803921566E-2" top="0.13541666666666666" bottom="0.11458333333333333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D80"/>
  <sheetViews>
    <sheetView tabSelected="1" view="pageBreakPreview" zoomScale="175" zoomScaleNormal="100" zoomScaleSheetLayoutView="175" workbookViewId="0">
      <selection activeCell="D10" sqref="D10"/>
    </sheetView>
  </sheetViews>
  <sheetFormatPr defaultColWidth="6" defaultRowHeight="14.25" x14ac:dyDescent="0.2"/>
  <cols>
    <col min="1" max="1" width="8.5703125" style="2" customWidth="1"/>
    <col min="2" max="2" width="6" style="2"/>
    <col min="3" max="3" width="8" style="2" customWidth="1"/>
    <col min="4" max="4" width="9.28515625" style="2" customWidth="1"/>
    <col min="5" max="6" width="6" style="2"/>
    <col min="7" max="7" width="4.7109375" style="2" customWidth="1"/>
    <col min="8" max="8" width="6" style="2"/>
    <col min="9" max="9" width="7" style="2" customWidth="1"/>
    <col min="10" max="10" width="6.7109375" style="2" customWidth="1"/>
    <col min="11" max="11" width="8.28515625" style="2" customWidth="1"/>
    <col min="12" max="12" width="10.7109375" style="2" customWidth="1"/>
    <col min="13" max="13" width="14.5703125" style="2" customWidth="1"/>
    <col min="14" max="16384" width="6" style="2"/>
  </cols>
  <sheetData>
    <row r="1" spans="1:18" x14ac:dyDescent="0.2">
      <c r="A1" s="118" t="s">
        <v>159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"/>
      <c r="O1" s="1"/>
      <c r="P1" s="1"/>
      <c r="Q1" s="1"/>
      <c r="R1" s="1"/>
    </row>
    <row r="3" spans="1:18" ht="18" customHeight="1" x14ac:dyDescent="0.2">
      <c r="A3" s="119" t="s">
        <v>19</v>
      </c>
      <c r="B3" s="119"/>
      <c r="C3" s="121" t="str">
        <f>'Tanker PDA'!C6:G6</f>
        <v>Vitol International Shipping Pte Ltd</v>
      </c>
      <c r="D3" s="122"/>
      <c r="E3" s="122"/>
      <c r="F3" s="122"/>
      <c r="G3" s="122"/>
      <c r="H3" s="122"/>
      <c r="I3" s="122"/>
      <c r="J3" s="122"/>
      <c r="K3" s="4"/>
      <c r="L3" s="4"/>
      <c r="M3" s="4"/>
      <c r="N3" s="4"/>
      <c r="O3" s="4"/>
      <c r="P3" s="4"/>
      <c r="Q3" s="4"/>
      <c r="R3" s="4"/>
    </row>
    <row r="4" spans="1:18" ht="14.25" hidden="1" customHeight="1" x14ac:dyDescent="0.2">
      <c r="A4" s="34"/>
      <c r="B4" s="34"/>
      <c r="C4" s="122"/>
      <c r="D4" s="122"/>
      <c r="E4" s="122"/>
      <c r="F4" s="122"/>
      <c r="G4" s="122"/>
      <c r="H4" s="122"/>
      <c r="I4" s="122"/>
      <c r="J4" s="122"/>
      <c r="K4" s="4"/>
      <c r="L4" s="4"/>
      <c r="M4" s="4"/>
      <c r="N4" s="4"/>
      <c r="O4" s="4"/>
      <c r="P4" s="4"/>
      <c r="Q4" s="4"/>
      <c r="R4" s="4"/>
    </row>
    <row r="5" spans="1:18" ht="14.25" customHeight="1" x14ac:dyDescent="0.2">
      <c r="A5" s="87" t="s">
        <v>57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5"/>
      <c r="O5" s="5"/>
      <c r="P5" s="5"/>
      <c r="Q5" s="4"/>
      <c r="R5" s="4"/>
    </row>
    <row r="6" spans="1:18" ht="12.75" customHeight="1" x14ac:dyDescent="0.2">
      <c r="A6" s="120" t="s">
        <v>157</v>
      </c>
      <c r="B6" s="120"/>
      <c r="C6" s="120"/>
      <c r="D6" s="97" t="s">
        <v>158</v>
      </c>
      <c r="E6" s="97"/>
      <c r="F6" s="97"/>
      <c r="G6" s="97"/>
      <c r="H6" s="97"/>
      <c r="I6" s="86" t="s">
        <v>175</v>
      </c>
      <c r="J6" s="86"/>
      <c r="K6" s="86"/>
      <c r="L6" s="86"/>
      <c r="M6" s="86"/>
      <c r="N6" s="5"/>
      <c r="O6" s="5"/>
      <c r="P6" s="5"/>
      <c r="Q6" s="4"/>
      <c r="R6" s="4"/>
    </row>
    <row r="7" spans="1:18" ht="6.75" customHeight="1" x14ac:dyDescent="0.2">
      <c r="A7" s="77"/>
      <c r="B7" s="77"/>
      <c r="C7" s="77"/>
      <c r="D7" s="77"/>
      <c r="E7" s="77"/>
      <c r="F7" s="77"/>
      <c r="G7" s="77"/>
      <c r="H7" s="5"/>
      <c r="I7" s="77"/>
      <c r="J7" s="77"/>
      <c r="K7" s="5"/>
      <c r="L7" s="5"/>
      <c r="M7" s="5"/>
      <c r="N7" s="5"/>
      <c r="O7" s="5"/>
      <c r="P7" s="5"/>
      <c r="Q7" s="4"/>
      <c r="R7" s="4"/>
    </row>
    <row r="8" spans="1:18" x14ac:dyDescent="0.2">
      <c r="A8" s="87" t="s">
        <v>22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4"/>
      <c r="O8" s="4"/>
      <c r="P8" s="4"/>
      <c r="Q8" s="4"/>
      <c r="R8" s="4"/>
    </row>
    <row r="9" spans="1:18" ht="15" customHeight="1" x14ac:dyDescent="0.2">
      <c r="A9" s="86" t="s">
        <v>20</v>
      </c>
      <c r="B9" s="86"/>
      <c r="C9" s="17"/>
      <c r="D9" s="14" t="s">
        <v>46</v>
      </c>
      <c r="E9" s="97" t="s">
        <v>24</v>
      </c>
      <c r="F9" s="97"/>
      <c r="G9" s="97"/>
      <c r="H9" s="98" t="s">
        <v>21</v>
      </c>
      <c r="I9" s="98"/>
      <c r="J9" s="14" t="s">
        <v>29</v>
      </c>
      <c r="K9" s="14" t="s">
        <v>30</v>
      </c>
      <c r="L9" s="14" t="s">
        <v>31</v>
      </c>
      <c r="M9" s="14" t="s">
        <v>32</v>
      </c>
      <c r="N9" s="4"/>
      <c r="O9" s="4"/>
      <c r="P9" s="4"/>
      <c r="Q9" s="4"/>
      <c r="R9" s="4"/>
    </row>
    <row r="10" spans="1:18" ht="14.25" customHeight="1" x14ac:dyDescent="0.2">
      <c r="A10" s="117" t="str">
        <f>'Tanker PDA'!A12:C12</f>
        <v>BELGRAVIA V</v>
      </c>
      <c r="B10" s="117"/>
      <c r="C10" s="117"/>
      <c r="D10" s="7">
        <f>'Tanker PDA'!D12</f>
        <v>9341897</v>
      </c>
      <c r="E10" s="89">
        <f>'Tanker PDA'!E12:G12</f>
        <v>10000</v>
      </c>
      <c r="F10" s="89"/>
      <c r="G10" s="89"/>
      <c r="H10" s="89">
        <f>'Tanker PDA'!H12:I12</f>
        <v>8000</v>
      </c>
      <c r="I10" s="89"/>
      <c r="J10" s="27">
        <f>'Tanker PDA'!J12</f>
        <v>119.95</v>
      </c>
      <c r="K10" s="28">
        <f>'Tanker PDA'!K12</f>
        <v>19.02</v>
      </c>
      <c r="L10" s="28">
        <f>'Tanker PDA'!L12</f>
        <v>10</v>
      </c>
      <c r="M10" s="28">
        <f>L10*K10*J10</f>
        <v>22814.489999999998</v>
      </c>
      <c r="N10" s="4"/>
      <c r="O10" s="4"/>
      <c r="P10" s="4"/>
      <c r="Q10" s="4"/>
      <c r="R10" s="4"/>
    </row>
    <row r="11" spans="1:18" ht="4.5" customHeight="1" x14ac:dyDescent="0.2">
      <c r="A11" s="87" t="s">
        <v>61</v>
      </c>
      <c r="B11" s="87"/>
      <c r="C11" s="87"/>
      <c r="D11" s="87"/>
      <c r="E11" s="87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4"/>
    </row>
    <row r="12" spans="1:18" ht="15" customHeight="1" x14ac:dyDescent="0.2">
      <c r="A12" s="86" t="s">
        <v>2</v>
      </c>
      <c r="B12" s="86"/>
      <c r="C12" s="86"/>
      <c r="D12" s="86" t="s">
        <v>3</v>
      </c>
      <c r="E12" s="86"/>
      <c r="F12" s="86"/>
      <c r="G12" s="86"/>
      <c r="H12" s="86"/>
      <c r="I12" s="86" t="s">
        <v>47</v>
      </c>
      <c r="J12" s="86"/>
      <c r="K12" s="86"/>
      <c r="L12" s="116" t="s">
        <v>4</v>
      </c>
      <c r="M12" s="116"/>
      <c r="N12" s="6"/>
      <c r="O12" s="6"/>
      <c r="P12" s="6"/>
      <c r="Q12" s="6"/>
      <c r="R12" s="4"/>
    </row>
    <row r="13" spans="1:18" ht="9.75" customHeight="1" x14ac:dyDescent="0.2">
      <c r="A13" s="86"/>
      <c r="B13" s="86"/>
      <c r="C13" s="86"/>
      <c r="D13" s="86"/>
      <c r="E13" s="86"/>
      <c r="F13" s="86"/>
      <c r="G13" s="86"/>
      <c r="H13" s="86"/>
      <c r="I13" s="86"/>
      <c r="J13" s="86"/>
      <c r="K13" s="86"/>
      <c r="L13" s="116"/>
      <c r="M13" s="116"/>
      <c r="N13" s="6"/>
      <c r="O13" s="6"/>
      <c r="P13" s="6"/>
      <c r="Q13" s="6"/>
      <c r="R13" s="4"/>
    </row>
    <row r="14" spans="1:18" ht="22.5" customHeight="1" x14ac:dyDescent="0.2">
      <c r="A14" s="93" t="s">
        <v>16</v>
      </c>
      <c r="B14" s="93"/>
      <c r="C14" s="93"/>
      <c r="D14" s="74" t="s">
        <v>5</v>
      </c>
      <c r="E14" s="74"/>
      <c r="F14" s="74"/>
      <c r="G14" s="74"/>
      <c r="H14" s="74"/>
      <c r="I14" s="15" t="s">
        <v>146</v>
      </c>
      <c r="J14" s="80" t="s">
        <v>81</v>
      </c>
      <c r="K14" s="80"/>
      <c r="M14" s="43">
        <v>8300.7000000000007</v>
      </c>
      <c r="N14" s="6"/>
      <c r="O14" s="6"/>
      <c r="P14" s="6"/>
      <c r="Q14" s="6"/>
      <c r="R14" s="4"/>
    </row>
    <row r="15" spans="1:18" ht="15" x14ac:dyDescent="0.2">
      <c r="A15" s="13"/>
      <c r="B15" s="13"/>
      <c r="C15" s="13"/>
      <c r="D15" s="74" t="s">
        <v>7</v>
      </c>
      <c r="E15" s="74"/>
      <c r="F15" s="74"/>
      <c r="G15" s="74"/>
      <c r="H15" s="74"/>
      <c r="I15" s="16" t="s">
        <v>136</v>
      </c>
      <c r="J15" s="9" t="s">
        <v>24</v>
      </c>
      <c r="K15" s="9"/>
      <c r="M15" s="43">
        <v>1082.7</v>
      </c>
      <c r="N15" s="6"/>
      <c r="O15" s="6"/>
      <c r="P15" s="6"/>
      <c r="Q15" s="6"/>
      <c r="R15" s="4"/>
    </row>
    <row r="16" spans="1:18" ht="11.25" customHeight="1" x14ac:dyDescent="0.2">
      <c r="A16" s="42" t="s">
        <v>82</v>
      </c>
      <c r="B16" s="13"/>
      <c r="C16" s="13"/>
      <c r="D16" s="74" t="s">
        <v>11</v>
      </c>
      <c r="E16" s="74"/>
      <c r="F16" s="74"/>
      <c r="G16" s="74"/>
      <c r="H16" s="74"/>
      <c r="I16" s="16" t="s">
        <v>138</v>
      </c>
      <c r="J16" s="9" t="s">
        <v>24</v>
      </c>
      <c r="K16" s="44"/>
      <c r="M16" s="43">
        <v>2309.7600000000002</v>
      </c>
      <c r="N16" s="6"/>
      <c r="O16" s="6"/>
      <c r="P16" s="6"/>
      <c r="Q16" s="6"/>
      <c r="R16" s="4"/>
    </row>
    <row r="17" spans="1:18" ht="12" customHeight="1" x14ac:dyDescent="0.2">
      <c r="A17" s="42" t="s">
        <v>160</v>
      </c>
      <c r="B17" s="13"/>
      <c r="C17" s="13"/>
      <c r="D17" s="74" t="s">
        <v>12</v>
      </c>
      <c r="E17" s="74"/>
      <c r="F17" s="74"/>
      <c r="G17" s="74"/>
      <c r="H17" s="74"/>
      <c r="I17" s="16" t="s">
        <v>138</v>
      </c>
      <c r="J17" s="9" t="s">
        <v>24</v>
      </c>
      <c r="K17" s="52" t="s">
        <v>95</v>
      </c>
      <c r="M17" s="43">
        <v>2309.7600000000002</v>
      </c>
      <c r="N17" s="6"/>
      <c r="O17" s="6"/>
      <c r="P17" s="6"/>
      <c r="Q17" s="6"/>
      <c r="R17" s="4"/>
    </row>
    <row r="18" spans="1:18" ht="15" x14ac:dyDescent="0.2">
      <c r="A18" s="42" t="s">
        <v>161</v>
      </c>
      <c r="B18" s="13"/>
      <c r="C18" s="13"/>
      <c r="D18" s="77" t="s">
        <v>9</v>
      </c>
      <c r="E18" s="77"/>
      <c r="F18" s="77"/>
      <c r="G18" s="77"/>
      <c r="H18" s="77"/>
      <c r="I18" s="16" t="s">
        <v>41</v>
      </c>
      <c r="J18" s="9"/>
      <c r="K18" s="45"/>
      <c r="M18" s="43">
        <v>250</v>
      </c>
      <c r="N18" s="6"/>
      <c r="O18" s="6"/>
      <c r="P18" s="6"/>
      <c r="Q18" s="6"/>
      <c r="R18" s="4"/>
    </row>
    <row r="19" spans="1:18" ht="15" x14ac:dyDescent="0.2">
      <c r="A19" s="13"/>
      <c r="B19" s="13"/>
      <c r="C19" s="13"/>
      <c r="D19" s="77" t="s">
        <v>10</v>
      </c>
      <c r="E19" s="77"/>
      <c r="F19" s="77"/>
      <c r="G19" s="77"/>
      <c r="H19" s="77"/>
      <c r="I19" s="16" t="s">
        <v>41</v>
      </c>
      <c r="J19" s="9"/>
      <c r="K19" s="52" t="s">
        <v>95</v>
      </c>
      <c r="M19" s="43">
        <v>250</v>
      </c>
      <c r="N19" s="6"/>
      <c r="O19" s="6"/>
      <c r="P19" s="6"/>
      <c r="Q19" s="6"/>
      <c r="R19" s="4"/>
    </row>
    <row r="20" spans="1:18" ht="12.75" customHeight="1" x14ac:dyDescent="0.2">
      <c r="A20" s="13"/>
      <c r="B20" s="13"/>
      <c r="C20" s="13"/>
      <c r="D20" s="74" t="s">
        <v>8</v>
      </c>
      <c r="E20" s="74"/>
      <c r="F20" s="74"/>
      <c r="G20" s="74"/>
      <c r="H20" s="74"/>
      <c r="I20" s="16" t="s">
        <v>147</v>
      </c>
      <c r="J20" s="9" t="s">
        <v>24</v>
      </c>
      <c r="K20" s="9"/>
      <c r="M20" s="43">
        <v>721.8</v>
      </c>
      <c r="N20" s="6"/>
      <c r="O20" s="6"/>
      <c r="P20" s="6"/>
      <c r="Q20" s="6"/>
      <c r="R20" s="4"/>
    </row>
    <row r="21" spans="1:18" ht="15" customHeight="1" x14ac:dyDescent="0.2">
      <c r="A21" s="13"/>
      <c r="B21" s="13"/>
      <c r="C21" s="13"/>
      <c r="D21" s="74" t="s">
        <v>13</v>
      </c>
      <c r="E21" s="74"/>
      <c r="F21" s="74"/>
      <c r="G21" s="74"/>
      <c r="H21" s="74"/>
      <c r="I21" s="16" t="s">
        <v>23</v>
      </c>
      <c r="J21" s="9" t="s">
        <v>24</v>
      </c>
      <c r="K21" s="9"/>
      <c r="M21" s="43">
        <v>505.26</v>
      </c>
      <c r="N21" s="6"/>
      <c r="O21" s="6"/>
      <c r="P21" s="6"/>
      <c r="Q21" s="6"/>
      <c r="R21" s="4"/>
    </row>
    <row r="22" spans="1:18" ht="15" customHeight="1" x14ac:dyDescent="0.2">
      <c r="A22" s="13"/>
      <c r="B22" s="13"/>
      <c r="C22" s="13"/>
      <c r="D22" s="74" t="s">
        <v>162</v>
      </c>
      <c r="E22" s="74"/>
      <c r="F22" s="74"/>
      <c r="G22" s="33"/>
      <c r="H22" s="33"/>
      <c r="I22" s="16">
        <v>150</v>
      </c>
      <c r="J22" s="9" t="s">
        <v>163</v>
      </c>
      <c r="K22" s="9" t="s">
        <v>164</v>
      </c>
      <c r="M22" s="43">
        <v>900</v>
      </c>
      <c r="N22" s="6"/>
      <c r="O22" s="6"/>
      <c r="P22" s="6"/>
      <c r="Q22" s="6"/>
      <c r="R22" s="4"/>
    </row>
    <row r="23" spans="1:18" ht="12.75" customHeight="1" x14ac:dyDescent="0.2">
      <c r="A23" s="13"/>
      <c r="B23" s="13"/>
      <c r="C23" s="13"/>
      <c r="D23" s="74" t="s">
        <v>97</v>
      </c>
      <c r="E23" s="74"/>
      <c r="F23" s="74"/>
      <c r="G23" s="74"/>
      <c r="H23" s="33"/>
      <c r="I23" s="16">
        <v>126.5</v>
      </c>
      <c r="J23" s="9" t="s">
        <v>98</v>
      </c>
      <c r="K23" s="9"/>
      <c r="M23" s="43">
        <v>1265</v>
      </c>
      <c r="N23" s="6"/>
      <c r="O23" s="6"/>
      <c r="P23" s="6"/>
      <c r="Q23" s="6"/>
      <c r="R23" s="4"/>
    </row>
    <row r="24" spans="1:18" ht="21.75" customHeight="1" x14ac:dyDescent="0.2">
      <c r="A24" s="13"/>
      <c r="B24" s="13"/>
      <c r="C24" s="13"/>
      <c r="D24" s="74" t="s">
        <v>66</v>
      </c>
      <c r="E24" s="74"/>
      <c r="F24" s="74"/>
      <c r="G24" s="74"/>
      <c r="H24" s="74"/>
      <c r="I24" s="53" t="s">
        <v>44</v>
      </c>
      <c r="J24" s="81" t="s">
        <v>50</v>
      </c>
      <c r="K24" s="81"/>
      <c r="M24" s="43">
        <f>0.07*H10</f>
        <v>560</v>
      </c>
      <c r="N24" s="6"/>
      <c r="O24" s="6"/>
      <c r="P24" s="6"/>
      <c r="Q24" s="6"/>
      <c r="R24" s="4"/>
    </row>
    <row r="25" spans="1:18" ht="11.25" customHeight="1" x14ac:dyDescent="0.2">
      <c r="A25" s="13" t="s">
        <v>17</v>
      </c>
      <c r="B25" s="13"/>
      <c r="C25" s="13"/>
      <c r="D25" s="89" t="s">
        <v>148</v>
      </c>
      <c r="E25" s="89"/>
      <c r="F25" s="7"/>
      <c r="G25" s="7"/>
      <c r="H25" s="7"/>
      <c r="I25" s="9" t="s">
        <v>166</v>
      </c>
      <c r="J25" s="123" t="s">
        <v>63</v>
      </c>
      <c r="K25" s="123"/>
      <c r="L25" s="123"/>
      <c r="M25" s="31">
        <v>683.72</v>
      </c>
      <c r="N25" s="6"/>
      <c r="O25" s="6"/>
      <c r="P25" s="6"/>
      <c r="Q25" s="6"/>
      <c r="R25" s="4"/>
    </row>
    <row r="26" spans="1:18" ht="11.25" customHeight="1" x14ac:dyDescent="0.2">
      <c r="A26" s="9" t="s">
        <v>165</v>
      </c>
      <c r="B26" s="13"/>
      <c r="C26" s="13"/>
      <c r="D26" s="27" t="s">
        <v>167</v>
      </c>
      <c r="E26" s="27"/>
      <c r="F26" s="7"/>
      <c r="G26" s="7"/>
      <c r="H26" s="7"/>
      <c r="I26" s="71">
        <v>0.25</v>
      </c>
      <c r="J26" s="47"/>
      <c r="K26" s="47"/>
      <c r="L26" s="47"/>
      <c r="M26" s="31">
        <v>170.93</v>
      </c>
      <c r="N26" s="6"/>
      <c r="O26" s="6"/>
      <c r="P26" s="6"/>
      <c r="Q26" s="6"/>
      <c r="R26" s="4"/>
    </row>
    <row r="27" spans="1:18" ht="12" customHeight="1" x14ac:dyDescent="0.2">
      <c r="A27" s="42"/>
      <c r="B27" s="13"/>
      <c r="C27" s="13"/>
      <c r="D27" s="9" t="s">
        <v>60</v>
      </c>
      <c r="E27" s="9"/>
      <c r="F27" s="9"/>
      <c r="G27" s="7"/>
      <c r="H27" s="7"/>
      <c r="I27" s="9" t="s">
        <v>166</v>
      </c>
      <c r="J27" s="123" t="s">
        <v>64</v>
      </c>
      <c r="K27" s="123"/>
      <c r="L27" s="123"/>
      <c r="M27" s="31">
        <v>683.72</v>
      </c>
      <c r="N27" s="6"/>
      <c r="O27" s="6"/>
      <c r="P27" s="6"/>
      <c r="Q27" s="6"/>
      <c r="R27" s="4"/>
    </row>
    <row r="28" spans="1:18" ht="12" customHeight="1" x14ac:dyDescent="0.2">
      <c r="A28" s="42"/>
      <c r="B28" s="13"/>
      <c r="C28" s="13"/>
      <c r="D28" s="9" t="s">
        <v>173</v>
      </c>
      <c r="E28" s="9"/>
      <c r="F28" s="9"/>
      <c r="G28" s="7"/>
      <c r="H28" s="7"/>
      <c r="I28" s="9" t="s">
        <v>174</v>
      </c>
      <c r="J28" s="47"/>
      <c r="K28" s="47"/>
      <c r="L28" s="47"/>
      <c r="M28" s="31">
        <v>400</v>
      </c>
      <c r="N28" s="6"/>
      <c r="O28" s="6"/>
      <c r="P28" s="6"/>
      <c r="Q28" s="6"/>
      <c r="R28" s="4"/>
    </row>
    <row r="29" spans="1:18" ht="12" customHeight="1" x14ac:dyDescent="0.2">
      <c r="A29" s="13" t="s">
        <v>27</v>
      </c>
      <c r="B29" s="13"/>
      <c r="C29" s="13"/>
      <c r="D29" s="77" t="s">
        <v>6</v>
      </c>
      <c r="E29" s="77"/>
      <c r="F29" s="77"/>
      <c r="G29" s="77"/>
      <c r="H29" s="77"/>
      <c r="I29" s="115" t="s">
        <v>88</v>
      </c>
      <c r="J29" s="115"/>
      <c r="K29" s="115"/>
      <c r="L29" s="115"/>
      <c r="M29" s="43">
        <f>1130.56/2.7306</f>
        <v>414.03354574086279</v>
      </c>
      <c r="N29" s="6"/>
      <c r="O29" s="6"/>
      <c r="P29" s="6"/>
      <c r="Q29" s="6"/>
      <c r="R29" s="4"/>
    </row>
    <row r="30" spans="1:18" ht="11.25" customHeight="1" x14ac:dyDescent="0.2">
      <c r="A30" s="13" t="s">
        <v>28</v>
      </c>
      <c r="B30" s="13"/>
      <c r="C30" s="13"/>
      <c r="D30" s="74" t="s">
        <v>14</v>
      </c>
      <c r="E30" s="74"/>
      <c r="F30" s="74"/>
      <c r="G30" s="74"/>
      <c r="H30" s="74"/>
      <c r="I30" s="115" t="s">
        <v>88</v>
      </c>
      <c r="J30" s="115"/>
      <c r="K30" s="115"/>
      <c r="L30" s="115"/>
      <c r="M30" s="43">
        <f>1276/2.7306</f>
        <v>467.29656485754049</v>
      </c>
      <c r="N30" s="6"/>
      <c r="O30" s="6"/>
      <c r="P30" s="6"/>
      <c r="Q30" s="6"/>
      <c r="R30" s="4"/>
    </row>
    <row r="31" spans="1:18" ht="10.5" customHeight="1" x14ac:dyDescent="0.2">
      <c r="A31" s="42" t="s">
        <v>168</v>
      </c>
      <c r="B31" s="42" t="s">
        <v>170</v>
      </c>
      <c r="C31" s="13"/>
      <c r="D31" s="74" t="s">
        <v>15</v>
      </c>
      <c r="E31" s="74"/>
      <c r="F31" s="74"/>
      <c r="G31" s="74"/>
      <c r="H31" s="74"/>
      <c r="I31" s="115" t="s">
        <v>88</v>
      </c>
      <c r="J31" s="115"/>
      <c r="K31" s="115"/>
      <c r="L31" s="115"/>
      <c r="M31" s="43">
        <f>580/2.7306</f>
        <v>212.40752948070022</v>
      </c>
      <c r="N31" s="6"/>
      <c r="O31" s="6"/>
      <c r="P31" s="6"/>
      <c r="Q31" s="6"/>
      <c r="R31" s="4"/>
    </row>
    <row r="32" spans="1:18" ht="9.75" customHeight="1" x14ac:dyDescent="0.2">
      <c r="A32" s="42" t="s">
        <v>169</v>
      </c>
      <c r="B32" s="42" t="s">
        <v>171</v>
      </c>
      <c r="C32" s="13"/>
      <c r="D32" s="113" t="s">
        <v>62</v>
      </c>
      <c r="E32" s="113"/>
      <c r="F32" s="113"/>
      <c r="G32" s="113"/>
      <c r="H32" s="33"/>
      <c r="I32" s="115" t="s">
        <v>88</v>
      </c>
      <c r="J32" s="115"/>
      <c r="K32" s="115"/>
      <c r="L32" s="115"/>
      <c r="M32" s="31">
        <f>1154.88/2.7306</f>
        <v>422.94001318391565</v>
      </c>
      <c r="N32" s="109"/>
      <c r="O32" s="109"/>
      <c r="P32" s="109"/>
      <c r="Q32" s="109"/>
      <c r="R32" s="109"/>
    </row>
    <row r="33" spans="1:18 16384:16384" ht="10.5" customHeight="1" x14ac:dyDescent="0.2">
      <c r="A33" s="13" t="s">
        <v>18</v>
      </c>
      <c r="B33" s="13"/>
      <c r="C33" s="51" t="s">
        <v>172</v>
      </c>
      <c r="D33" s="111" t="s">
        <v>99</v>
      </c>
      <c r="E33" s="111"/>
      <c r="F33" s="111"/>
      <c r="G33" s="111"/>
      <c r="H33" s="111"/>
      <c r="I33" s="54" t="s">
        <v>89</v>
      </c>
      <c r="J33" s="54" t="s">
        <v>32</v>
      </c>
      <c r="K33" s="55"/>
      <c r="L33" s="56"/>
      <c r="M33" s="57">
        <v>649.62</v>
      </c>
      <c r="N33" s="41"/>
      <c r="O33" s="41"/>
      <c r="P33" s="41"/>
      <c r="Q33" s="41"/>
      <c r="R33" s="41"/>
    </row>
    <row r="34" spans="1:18 16384:16384" ht="9.75" customHeight="1" x14ac:dyDescent="0.2">
      <c r="A34" s="13" t="s">
        <v>84</v>
      </c>
      <c r="B34" s="13"/>
      <c r="C34" s="9"/>
      <c r="D34" s="111" t="s">
        <v>73</v>
      </c>
      <c r="E34" s="111"/>
      <c r="F34" s="111"/>
      <c r="G34" s="111"/>
      <c r="H34" s="111"/>
      <c r="I34" s="112" t="s">
        <v>42</v>
      </c>
      <c r="J34" s="112"/>
      <c r="K34" s="55"/>
      <c r="L34" s="56"/>
      <c r="M34" s="57">
        <v>1799.47</v>
      </c>
      <c r="N34" s="6"/>
      <c r="O34" s="6"/>
      <c r="P34" s="6"/>
      <c r="Q34" s="6"/>
      <c r="R34" s="4"/>
    </row>
    <row r="35" spans="1:18 16384:16384" ht="12" customHeight="1" x14ac:dyDescent="0.2">
      <c r="A35" s="13"/>
      <c r="B35" s="13"/>
      <c r="C35" s="13"/>
      <c r="D35" s="111"/>
      <c r="E35" s="111"/>
      <c r="F35" s="111"/>
      <c r="G35" s="111"/>
      <c r="H35" s="111"/>
      <c r="I35" s="112"/>
      <c r="J35" s="112"/>
      <c r="K35" s="55"/>
      <c r="L35" s="56"/>
      <c r="M35" s="57"/>
      <c r="N35" s="6"/>
      <c r="O35" s="6"/>
      <c r="P35" s="6"/>
      <c r="Q35" s="6"/>
      <c r="R35" s="4"/>
    </row>
    <row r="36" spans="1:18 16384:16384" ht="15" customHeight="1" x14ac:dyDescent="0.2">
      <c r="A36" s="6"/>
      <c r="B36" s="6"/>
      <c r="C36" s="6"/>
      <c r="D36" s="58"/>
      <c r="E36" s="58"/>
      <c r="F36" s="58"/>
      <c r="G36" s="58"/>
      <c r="H36" s="58"/>
      <c r="I36" s="59"/>
      <c r="J36" s="59"/>
      <c r="K36" s="110" t="s">
        <v>58</v>
      </c>
      <c r="L36" s="110"/>
      <c r="M36" s="60">
        <f>SUM(M14:M35)</f>
        <v>24359.117653263023</v>
      </c>
      <c r="N36" s="6"/>
      <c r="O36" s="6"/>
      <c r="P36" s="6"/>
      <c r="Q36" s="6"/>
      <c r="R36" s="4"/>
    </row>
    <row r="37" spans="1:18 16384:16384" ht="15" x14ac:dyDescent="0.2">
      <c r="A37" s="6"/>
      <c r="B37" s="6"/>
      <c r="C37" s="6"/>
      <c r="D37" s="58"/>
      <c r="E37" s="58"/>
      <c r="F37" s="58"/>
      <c r="G37" s="58"/>
      <c r="H37" s="58"/>
      <c r="I37" s="114" t="s">
        <v>65</v>
      </c>
      <c r="J37" s="114"/>
      <c r="K37" s="114"/>
      <c r="L37" s="114"/>
      <c r="M37" s="72">
        <v>12400.92</v>
      </c>
      <c r="N37" s="7"/>
      <c r="O37" s="7"/>
      <c r="P37" s="7"/>
      <c r="Q37" s="7"/>
      <c r="R37" s="4"/>
    </row>
    <row r="38" spans="1:18 16384:16384" ht="15" x14ac:dyDescent="0.2">
      <c r="A38" s="6"/>
      <c r="B38" s="6"/>
      <c r="C38" s="6"/>
      <c r="D38" s="58"/>
      <c r="E38" s="58"/>
      <c r="F38" s="58"/>
      <c r="G38" s="58"/>
      <c r="H38" s="58"/>
      <c r="I38" s="108" t="s">
        <v>96</v>
      </c>
      <c r="J38" s="108"/>
      <c r="K38" s="108"/>
      <c r="L38" s="108"/>
      <c r="M38" s="73">
        <f>M37-M36</f>
        <v>-11958.197653263023</v>
      </c>
      <c r="N38" s="11"/>
      <c r="O38" s="11"/>
      <c r="P38" s="11"/>
      <c r="Q38" s="11"/>
      <c r="R38" s="4"/>
      <c r="XFD38" s="2">
        <f>SUM(N38:XFC38)</f>
        <v>0</v>
      </c>
    </row>
    <row r="39" spans="1:18 16384:16384" ht="15" x14ac:dyDescent="0.2">
      <c r="A39" s="6"/>
      <c r="B39" s="6"/>
      <c r="C39" s="6"/>
      <c r="D39" s="58"/>
      <c r="E39" s="58"/>
      <c r="F39" s="58"/>
      <c r="G39" s="58"/>
      <c r="H39" s="58"/>
      <c r="I39" s="61"/>
      <c r="J39" s="62"/>
      <c r="K39" s="56"/>
      <c r="L39" s="63"/>
      <c r="M39" s="63"/>
      <c r="N39" s="11"/>
      <c r="O39" s="11"/>
      <c r="P39" s="11"/>
      <c r="Q39" s="11"/>
      <c r="R39" s="4"/>
    </row>
    <row r="40" spans="1:18 16384:16384" x14ac:dyDescent="0.2">
      <c r="A40" s="69" t="s">
        <v>90</v>
      </c>
      <c r="B40" s="20"/>
      <c r="C40" s="70"/>
      <c r="D40" s="70"/>
      <c r="E40" s="70"/>
      <c r="F40" s="49"/>
      <c r="G40" s="49"/>
      <c r="H40" s="49"/>
      <c r="I40" s="49"/>
      <c r="J40" s="49"/>
      <c r="K40" s="49"/>
      <c r="L40" s="4"/>
      <c r="M40" s="4"/>
      <c r="N40" s="4"/>
      <c r="O40" s="4"/>
      <c r="P40" s="4"/>
      <c r="Q40" s="4"/>
      <c r="R40" s="4"/>
    </row>
    <row r="41" spans="1:18 16384:16384" ht="12" customHeight="1" x14ac:dyDescent="0.2">
      <c r="A41" s="68" t="s">
        <v>91</v>
      </c>
      <c r="B41" s="20"/>
      <c r="C41" s="70"/>
      <c r="D41" s="70"/>
      <c r="E41" s="70"/>
      <c r="F41" s="49"/>
      <c r="G41" s="49"/>
      <c r="H41" s="49"/>
      <c r="I41" s="49"/>
      <c r="J41" s="49"/>
      <c r="K41" s="49"/>
      <c r="L41" s="4"/>
      <c r="M41" s="4"/>
      <c r="N41" s="4"/>
      <c r="O41" s="4"/>
      <c r="P41" s="4"/>
      <c r="Q41" s="4"/>
      <c r="R41" s="4"/>
    </row>
    <row r="42" spans="1:18 16384:16384" x14ac:dyDescent="0.2">
      <c r="A42" s="68" t="s">
        <v>140</v>
      </c>
      <c r="B42" s="20"/>
      <c r="C42" s="70"/>
      <c r="D42" s="70"/>
      <c r="E42" s="70"/>
      <c r="F42" s="49"/>
      <c r="G42" s="49"/>
      <c r="H42" s="49"/>
      <c r="I42" s="49"/>
      <c r="J42" s="49"/>
      <c r="K42" s="49"/>
      <c r="L42" s="4"/>
      <c r="M42" s="4"/>
      <c r="N42" s="4"/>
      <c r="O42" s="4"/>
      <c r="P42" s="4"/>
      <c r="Q42" s="4"/>
      <c r="R42" s="4"/>
    </row>
    <row r="43" spans="1:18 16384:16384" ht="11.25" customHeight="1" x14ac:dyDescent="0.2">
      <c r="A43" s="68" t="s">
        <v>141</v>
      </c>
      <c r="B43" s="20"/>
      <c r="C43" s="70"/>
      <c r="D43" s="49"/>
      <c r="E43" s="49"/>
      <c r="F43" s="49"/>
      <c r="G43" s="49"/>
      <c r="H43" s="49"/>
      <c r="I43" s="49"/>
      <c r="J43" s="49"/>
      <c r="K43" s="49"/>
      <c r="L43" s="4"/>
      <c r="M43" s="4"/>
      <c r="N43" s="4"/>
      <c r="O43" s="4"/>
      <c r="P43" s="4"/>
      <c r="Q43" s="4"/>
      <c r="R43" s="4"/>
    </row>
    <row r="44" spans="1:18 16384:16384" x14ac:dyDescent="0.2">
      <c r="A44" s="68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 spans="1:18 16384:16384" x14ac:dyDescent="0.2">
      <c r="A45" s="68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spans="1:18 16384:16384" x14ac:dyDescent="0.2">
      <c r="A46" s="25" t="s">
        <v>142</v>
      </c>
      <c r="B46" s="4"/>
      <c r="C46" s="4"/>
      <c r="D46" s="29"/>
      <c r="E46" s="29"/>
      <c r="F46" s="29"/>
      <c r="G46" s="29"/>
      <c r="H46" s="29"/>
      <c r="I46" s="29"/>
      <c r="J46" s="3"/>
      <c r="K46" s="3"/>
      <c r="L46" s="3"/>
      <c r="M46" s="3"/>
      <c r="N46" s="4"/>
      <c r="O46" s="4"/>
      <c r="P46" s="4"/>
      <c r="Q46" s="4"/>
      <c r="R46" s="4"/>
    </row>
    <row r="47" spans="1:18 16384:16384" x14ac:dyDescent="0.2">
      <c r="A47" s="3" t="s">
        <v>51</v>
      </c>
      <c r="B47" s="29" t="s">
        <v>135</v>
      </c>
      <c r="C47" s="29"/>
      <c r="D47" s="29"/>
      <c r="E47" s="29"/>
      <c r="F47" s="29"/>
      <c r="G47" s="29"/>
      <c r="H47" s="29"/>
      <c r="I47" s="32"/>
      <c r="J47" s="3"/>
      <c r="K47" s="3"/>
      <c r="L47" s="3"/>
      <c r="M47" s="3"/>
      <c r="N47" s="4"/>
      <c r="O47" s="4"/>
      <c r="P47" s="4"/>
      <c r="Q47" s="4"/>
      <c r="R47" s="4"/>
    </row>
    <row r="48" spans="1:18 16384:16384" ht="15" customHeight="1" x14ac:dyDescent="0.2">
      <c r="A48" s="3"/>
      <c r="B48" s="29" t="s">
        <v>71</v>
      </c>
      <c r="C48" s="29"/>
      <c r="D48" s="30"/>
      <c r="E48" s="30"/>
      <c r="F48" s="30"/>
      <c r="G48" s="30"/>
      <c r="H48" s="30"/>
      <c r="I48" s="30"/>
      <c r="J48" s="4"/>
      <c r="K48" s="4"/>
      <c r="L48" s="4"/>
      <c r="M48" s="4"/>
      <c r="N48" s="4"/>
      <c r="O48" s="4"/>
      <c r="P48" s="4"/>
      <c r="Q48" s="4"/>
      <c r="R48" s="4"/>
    </row>
    <row r="49" spans="1:18" x14ac:dyDescent="0.2">
      <c r="A49" s="26"/>
      <c r="B49" s="29" t="s">
        <v>80</v>
      </c>
      <c r="C49" s="30"/>
      <c r="D49" s="30"/>
      <c r="E49" s="30"/>
      <c r="F49" s="30"/>
      <c r="G49" s="30"/>
      <c r="H49" s="30"/>
      <c r="I49" s="30"/>
      <c r="J49" s="4"/>
      <c r="K49" s="4"/>
      <c r="L49" s="4"/>
      <c r="M49" s="4"/>
      <c r="N49" s="4"/>
      <c r="O49" s="4"/>
      <c r="P49" s="4"/>
      <c r="Q49" s="4"/>
      <c r="R49" s="4"/>
    </row>
    <row r="50" spans="1:18" x14ac:dyDescent="0.2">
      <c r="A50" s="26"/>
      <c r="B50" s="29" t="s">
        <v>134</v>
      </c>
      <c r="C50" s="30"/>
      <c r="D50" s="30"/>
      <c r="E50" s="30"/>
      <c r="F50" s="30"/>
      <c r="G50" s="30"/>
      <c r="H50" s="30"/>
      <c r="I50" s="30"/>
      <c r="J50" s="4"/>
      <c r="K50" s="4"/>
      <c r="L50" s="4"/>
      <c r="M50" s="4"/>
      <c r="N50" s="4"/>
      <c r="O50" s="4"/>
      <c r="P50" s="4"/>
      <c r="Q50" s="4"/>
      <c r="R50" s="4"/>
    </row>
    <row r="51" spans="1:18" x14ac:dyDescent="0.2">
      <c r="A51" s="26" t="s">
        <v>52</v>
      </c>
      <c r="B51" s="30"/>
      <c r="C51" s="30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 spans="1:18" x14ac:dyDescent="0.2">
      <c r="A52" s="3" t="s">
        <v>53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 spans="1:18" x14ac:dyDescent="0.2">
      <c r="A53" s="3" t="s">
        <v>54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spans="1:18" x14ac:dyDescent="0.2">
      <c r="A54" s="3" t="s">
        <v>55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  <row r="55" spans="1:18" ht="8.25" customHeight="1" x14ac:dyDescent="0.2">
      <c r="A55" s="3" t="s">
        <v>56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</row>
    <row r="56" spans="1:18" x14ac:dyDescent="0.2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 spans="1:18" ht="13.5" customHeight="1" x14ac:dyDescent="0.2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</row>
    <row r="58" spans="1:18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</row>
    <row r="59" spans="1:18" ht="9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</row>
    <row r="60" spans="1:18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</row>
    <row r="61" spans="1:18" ht="9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</row>
    <row r="62" spans="1:18" ht="9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</row>
    <row r="63" spans="1:18" ht="10.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</row>
    <row r="64" spans="1:18" ht="9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</row>
    <row r="65" spans="1:18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</row>
    <row r="66" spans="1:18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</row>
    <row r="67" spans="1:18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</row>
    <row r="68" spans="1:18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</row>
    <row r="69" spans="1:18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</row>
    <row r="70" spans="1:18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</row>
    <row r="71" spans="1:18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</row>
    <row r="72" spans="1:18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</row>
    <row r="73" spans="1:18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</row>
    <row r="74" spans="1:18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</row>
    <row r="75" spans="1:18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</row>
    <row r="76" spans="1:18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</row>
    <row r="77" spans="1:18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</row>
    <row r="78" spans="1:18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</row>
    <row r="79" spans="1:18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8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</sheetData>
  <mergeCells count="54">
    <mergeCell ref="D17:H17"/>
    <mergeCell ref="D18:H18"/>
    <mergeCell ref="D19:H19"/>
    <mergeCell ref="D20:H20"/>
    <mergeCell ref="I31:L31"/>
    <mergeCell ref="D21:H21"/>
    <mergeCell ref="D30:H30"/>
    <mergeCell ref="D25:E25"/>
    <mergeCell ref="J25:L25"/>
    <mergeCell ref="J27:L27"/>
    <mergeCell ref="D29:H29"/>
    <mergeCell ref="I29:L29"/>
    <mergeCell ref="D24:H24"/>
    <mergeCell ref="J24:K24"/>
    <mergeCell ref="D22:F22"/>
    <mergeCell ref="A14:C14"/>
    <mergeCell ref="D14:H14"/>
    <mergeCell ref="J14:K14"/>
    <mergeCell ref="D16:H16"/>
    <mergeCell ref="D15:H15"/>
    <mergeCell ref="A1:M1"/>
    <mergeCell ref="A3:B3"/>
    <mergeCell ref="A5:M5"/>
    <mergeCell ref="A6:C6"/>
    <mergeCell ref="D6:H6"/>
    <mergeCell ref="C3:J4"/>
    <mergeCell ref="I6:M6"/>
    <mergeCell ref="L12:M13"/>
    <mergeCell ref="A7:D7"/>
    <mergeCell ref="E7:G7"/>
    <mergeCell ref="I7:J7"/>
    <mergeCell ref="A8:M8"/>
    <mergeCell ref="A9:B9"/>
    <mergeCell ref="E9:G9"/>
    <mergeCell ref="H9:I9"/>
    <mergeCell ref="A10:C10"/>
    <mergeCell ref="E10:G10"/>
    <mergeCell ref="H10:I10"/>
    <mergeCell ref="A11:E11"/>
    <mergeCell ref="A12:C13"/>
    <mergeCell ref="D12:H13"/>
    <mergeCell ref="I12:K13"/>
    <mergeCell ref="I38:L38"/>
    <mergeCell ref="N32:R32"/>
    <mergeCell ref="K36:L36"/>
    <mergeCell ref="D23:G23"/>
    <mergeCell ref="D34:H35"/>
    <mergeCell ref="I34:J35"/>
    <mergeCell ref="D33:H33"/>
    <mergeCell ref="D32:G32"/>
    <mergeCell ref="I37:L37"/>
    <mergeCell ref="D31:H31"/>
    <mergeCell ref="I30:L30"/>
    <mergeCell ref="I32:L32"/>
  </mergeCells>
  <pageMargins left="0.36090686274509803" right="0.11874999999999999" top="0.34635416666666669" bottom="0.11458333333333333" header="0.3" footer="0.3"/>
  <pageSetup paperSize="9" scale="9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6"/>
  <sheetViews>
    <sheetView workbookViewId="0">
      <selection activeCell="B3" sqref="B3:B6"/>
    </sheetView>
  </sheetViews>
  <sheetFormatPr defaultRowHeight="15" x14ac:dyDescent="0.25"/>
  <sheetData>
    <row r="2" spans="1:1" x14ac:dyDescent="0.25">
      <c r="A2" s="67" t="s">
        <v>103</v>
      </c>
    </row>
    <row r="3" spans="1:1" x14ac:dyDescent="0.25">
      <c r="A3" t="s">
        <v>152</v>
      </c>
    </row>
    <row r="4" spans="1:1" x14ac:dyDescent="0.25">
      <c r="A4" t="s">
        <v>153</v>
      </c>
    </row>
    <row r="5" spans="1:1" x14ac:dyDescent="0.25">
      <c r="A5" t="s">
        <v>154</v>
      </c>
    </row>
    <row r="6" spans="1:1" x14ac:dyDescent="0.25">
      <c r="A6" t="s">
        <v>155</v>
      </c>
    </row>
  </sheetData>
  <phoneticPr fontId="16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C6D59-330C-41D1-BED9-998CDB14431B}">
  <dimension ref="A1:A2"/>
  <sheetViews>
    <sheetView workbookViewId="0"/>
  </sheetViews>
  <sheetFormatPr defaultRowHeight="15" x14ac:dyDescent="0.25"/>
  <sheetData>
    <row r="1" spans="1:1" x14ac:dyDescent="0.25">
      <c r="A1" t="s">
        <v>101</v>
      </c>
    </row>
    <row r="2" spans="1:1" x14ac:dyDescent="0.25">
      <c r="A2" t="s">
        <v>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DB442-470B-471C-9196-EABF0C791DF5}">
  <dimension ref="B3:L594"/>
  <sheetViews>
    <sheetView workbookViewId="0">
      <selection activeCell="K5" sqref="K5"/>
    </sheetView>
  </sheetViews>
  <sheetFormatPr defaultRowHeight="15" x14ac:dyDescent="0.25"/>
  <cols>
    <col min="5" max="5" width="9.140625" customWidth="1"/>
    <col min="6" max="6" width="13.85546875" customWidth="1"/>
    <col min="7" max="7" width="9.140625" customWidth="1"/>
    <col min="8" max="8" width="12.42578125" customWidth="1"/>
    <col min="11" max="11" width="18.42578125" customWidth="1"/>
    <col min="12" max="12" width="27" customWidth="1"/>
    <col min="13" max="13" width="25.85546875" customWidth="1"/>
  </cols>
  <sheetData>
    <row r="3" spans="2:12" x14ac:dyDescent="0.25">
      <c r="C3" s="66" t="s">
        <v>34</v>
      </c>
      <c r="D3" s="66" t="s">
        <v>35</v>
      </c>
      <c r="H3" s="66" t="s">
        <v>38</v>
      </c>
      <c r="K3" s="66" t="s">
        <v>24</v>
      </c>
      <c r="L3" s="66" t="s">
        <v>37</v>
      </c>
    </row>
    <row r="4" spans="2:12" ht="25.5" customHeight="1" x14ac:dyDescent="0.3">
      <c r="B4" t="s">
        <v>36</v>
      </c>
      <c r="C4">
        <v>1001</v>
      </c>
      <c r="D4">
        <v>1100</v>
      </c>
      <c r="E4">
        <v>0.20384615384615301</v>
      </c>
      <c r="F4">
        <v>1100</v>
      </c>
      <c r="G4">
        <v>225</v>
      </c>
      <c r="H4">
        <f t="shared" ref="H4:H67" si="0">G4+(D4-F4)*E4</f>
        <v>225</v>
      </c>
      <c r="K4" s="65">
        <v>8000</v>
      </c>
      <c r="L4" s="64">
        <f>SUMIF(D4:D593,ROUNDUP(K4,-2),H4:H593)</f>
        <v>1157.7777777777778</v>
      </c>
    </row>
    <row r="5" spans="2:12" x14ac:dyDescent="0.25">
      <c r="C5">
        <v>1101</v>
      </c>
      <c r="D5">
        <v>1200</v>
      </c>
      <c r="E5">
        <v>0.20384615384615301</v>
      </c>
      <c r="F5">
        <v>1100</v>
      </c>
      <c r="G5">
        <v>225</v>
      </c>
      <c r="H5">
        <f t="shared" si="0"/>
        <v>245.3846153846153</v>
      </c>
    </row>
    <row r="6" spans="2:12" x14ac:dyDescent="0.25">
      <c r="C6">
        <v>1201</v>
      </c>
      <c r="D6">
        <v>1300</v>
      </c>
      <c r="E6">
        <v>0.20384615384615301</v>
      </c>
      <c r="F6">
        <v>1100</v>
      </c>
      <c r="G6">
        <v>225</v>
      </c>
      <c r="H6">
        <f>G6+(D6-F6)*E6</f>
        <v>265.7692307692306</v>
      </c>
    </row>
    <row r="7" spans="2:12" x14ac:dyDescent="0.25">
      <c r="C7">
        <v>1301</v>
      </c>
      <c r="D7">
        <v>1400</v>
      </c>
      <c r="E7">
        <v>0.20384615384615301</v>
      </c>
      <c r="F7">
        <v>1100</v>
      </c>
      <c r="G7">
        <v>225</v>
      </c>
      <c r="H7">
        <f>G7+(D7-F7)*E7</f>
        <v>286.1538461538459</v>
      </c>
    </row>
    <row r="8" spans="2:12" x14ac:dyDescent="0.25">
      <c r="C8">
        <v>1401</v>
      </c>
      <c r="D8">
        <v>1500</v>
      </c>
      <c r="E8">
        <v>0.20384615384615301</v>
      </c>
      <c r="F8">
        <v>1100</v>
      </c>
      <c r="G8">
        <v>225</v>
      </c>
      <c r="H8">
        <f t="shared" si="0"/>
        <v>306.53846153846121</v>
      </c>
    </row>
    <row r="9" spans="2:12" x14ac:dyDescent="0.25">
      <c r="C9">
        <v>1501</v>
      </c>
      <c r="D9">
        <v>1600</v>
      </c>
      <c r="E9">
        <v>0.20384615384615301</v>
      </c>
      <c r="F9">
        <v>1100</v>
      </c>
      <c r="G9">
        <v>225</v>
      </c>
      <c r="H9">
        <f t="shared" si="0"/>
        <v>326.92307692307651</v>
      </c>
    </row>
    <row r="10" spans="2:12" x14ac:dyDescent="0.25">
      <c r="C10">
        <v>1601</v>
      </c>
      <c r="D10">
        <v>1700</v>
      </c>
      <c r="E10">
        <v>0.20384615384615301</v>
      </c>
      <c r="F10">
        <v>1100</v>
      </c>
      <c r="G10">
        <v>225</v>
      </c>
      <c r="H10">
        <f t="shared" si="0"/>
        <v>347.30769230769181</v>
      </c>
    </row>
    <row r="11" spans="2:12" x14ac:dyDescent="0.25">
      <c r="C11">
        <v>1701</v>
      </c>
      <c r="D11">
        <v>1800</v>
      </c>
      <c r="E11">
        <v>0.20384615384615301</v>
      </c>
      <c r="F11">
        <v>1100</v>
      </c>
      <c r="G11">
        <v>225</v>
      </c>
      <c r="H11">
        <f t="shared" si="0"/>
        <v>367.69230769230711</v>
      </c>
    </row>
    <row r="12" spans="2:12" x14ac:dyDescent="0.25">
      <c r="C12">
        <v>1801</v>
      </c>
      <c r="D12">
        <v>1900</v>
      </c>
      <c r="E12">
        <v>0.20384615384615301</v>
      </c>
      <c r="F12">
        <v>1100</v>
      </c>
      <c r="G12">
        <v>225</v>
      </c>
      <c r="H12">
        <f t="shared" si="0"/>
        <v>388.07692307692241</v>
      </c>
    </row>
    <row r="13" spans="2:12" x14ac:dyDescent="0.25">
      <c r="C13">
        <v>1901</v>
      </c>
      <c r="D13">
        <v>2000</v>
      </c>
      <c r="E13">
        <v>0.20384615384615301</v>
      </c>
      <c r="F13">
        <v>1100</v>
      </c>
      <c r="G13">
        <v>225</v>
      </c>
      <c r="H13">
        <f t="shared" si="0"/>
        <v>408.46153846153771</v>
      </c>
    </row>
    <row r="14" spans="2:12" x14ac:dyDescent="0.25">
      <c r="C14">
        <v>2001</v>
      </c>
      <c r="D14">
        <v>2100</v>
      </c>
      <c r="E14">
        <v>0.20384615384615301</v>
      </c>
      <c r="F14">
        <v>1100</v>
      </c>
      <c r="G14">
        <v>225</v>
      </c>
      <c r="H14">
        <f t="shared" si="0"/>
        <v>428.84615384615302</v>
      </c>
    </row>
    <row r="15" spans="2:12" x14ac:dyDescent="0.25">
      <c r="C15">
        <v>2101</v>
      </c>
      <c r="D15">
        <v>2200</v>
      </c>
      <c r="E15">
        <v>0.20384615384615301</v>
      </c>
      <c r="F15">
        <v>1100</v>
      </c>
      <c r="G15">
        <v>225</v>
      </c>
      <c r="H15">
        <f t="shared" si="0"/>
        <v>449.23076923076832</v>
      </c>
    </row>
    <row r="16" spans="2:12" x14ac:dyDescent="0.25">
      <c r="C16">
        <v>2201</v>
      </c>
      <c r="D16">
        <v>2300</v>
      </c>
      <c r="E16">
        <v>0.20384615384615301</v>
      </c>
      <c r="F16">
        <v>1100</v>
      </c>
      <c r="G16">
        <v>225</v>
      </c>
      <c r="H16">
        <f t="shared" si="0"/>
        <v>469.61538461538362</v>
      </c>
    </row>
    <row r="17" spans="3:8" x14ac:dyDescent="0.25">
      <c r="C17">
        <v>2301</v>
      </c>
      <c r="D17">
        <v>2400</v>
      </c>
      <c r="E17">
        <v>0.20384615384615301</v>
      </c>
      <c r="F17">
        <v>1100</v>
      </c>
      <c r="G17">
        <v>225</v>
      </c>
      <c r="H17">
        <f t="shared" si="0"/>
        <v>489.99999999999892</v>
      </c>
    </row>
    <row r="18" spans="3:8" x14ac:dyDescent="0.25">
      <c r="C18">
        <v>2401</v>
      </c>
      <c r="D18">
        <v>2500</v>
      </c>
      <c r="E18">
        <v>0.20384615384615301</v>
      </c>
      <c r="F18">
        <v>1100</v>
      </c>
      <c r="G18">
        <v>225</v>
      </c>
      <c r="H18">
        <f t="shared" si="0"/>
        <v>510.38461538461422</v>
      </c>
    </row>
    <row r="19" spans="3:8" x14ac:dyDescent="0.25">
      <c r="C19">
        <v>2501</v>
      </c>
      <c r="D19">
        <v>2600</v>
      </c>
      <c r="E19">
        <v>0.20384615384615301</v>
      </c>
      <c r="F19">
        <v>1100</v>
      </c>
      <c r="G19">
        <v>225</v>
      </c>
      <c r="H19">
        <f t="shared" si="0"/>
        <v>530.76923076922958</v>
      </c>
    </row>
    <row r="20" spans="3:8" x14ac:dyDescent="0.25">
      <c r="C20">
        <v>2601</v>
      </c>
      <c r="D20">
        <v>2700</v>
      </c>
      <c r="E20">
        <v>0.20384615384615301</v>
      </c>
      <c r="F20">
        <v>1100</v>
      </c>
      <c r="G20">
        <v>225</v>
      </c>
      <c r="H20">
        <f t="shared" si="0"/>
        <v>551.15384615384482</v>
      </c>
    </row>
    <row r="21" spans="3:8" x14ac:dyDescent="0.25">
      <c r="C21">
        <v>2701</v>
      </c>
      <c r="D21">
        <v>2800</v>
      </c>
      <c r="E21">
        <v>0.20384615384615301</v>
      </c>
      <c r="F21">
        <v>1100</v>
      </c>
      <c r="G21">
        <v>225</v>
      </c>
      <c r="H21">
        <f t="shared" si="0"/>
        <v>571.53846153846007</v>
      </c>
    </row>
    <row r="22" spans="3:8" x14ac:dyDescent="0.25">
      <c r="C22">
        <v>2801</v>
      </c>
      <c r="D22">
        <v>2900</v>
      </c>
      <c r="E22">
        <v>0.20384615384615301</v>
      </c>
      <c r="F22">
        <v>1100</v>
      </c>
      <c r="G22">
        <v>225</v>
      </c>
      <c r="H22">
        <f t="shared" si="0"/>
        <v>591.92307692307543</v>
      </c>
    </row>
    <row r="23" spans="3:8" x14ac:dyDescent="0.25">
      <c r="C23">
        <v>2901</v>
      </c>
      <c r="D23">
        <v>3000</v>
      </c>
      <c r="E23">
        <v>0.20384615384615301</v>
      </c>
      <c r="F23">
        <v>1100</v>
      </c>
      <c r="G23">
        <v>225</v>
      </c>
      <c r="H23">
        <f t="shared" si="0"/>
        <v>612.30769230769079</v>
      </c>
    </row>
    <row r="24" spans="3:8" x14ac:dyDescent="0.25">
      <c r="C24">
        <v>3001</v>
      </c>
      <c r="D24">
        <v>3100</v>
      </c>
      <c r="E24">
        <v>0.20384615384615301</v>
      </c>
      <c r="F24">
        <v>1100</v>
      </c>
      <c r="G24">
        <v>225</v>
      </c>
      <c r="H24">
        <f t="shared" si="0"/>
        <v>632.69230769230603</v>
      </c>
    </row>
    <row r="25" spans="3:8" x14ac:dyDescent="0.25">
      <c r="C25">
        <v>3101</v>
      </c>
      <c r="D25">
        <v>3200</v>
      </c>
      <c r="E25">
        <v>0.20384615384615301</v>
      </c>
      <c r="F25">
        <v>1100</v>
      </c>
      <c r="G25">
        <v>225</v>
      </c>
      <c r="H25">
        <f t="shared" si="0"/>
        <v>653.07692307692128</v>
      </c>
    </row>
    <row r="26" spans="3:8" x14ac:dyDescent="0.25">
      <c r="C26">
        <v>3201</v>
      </c>
      <c r="D26">
        <v>3300</v>
      </c>
      <c r="E26">
        <v>0.20384615384615301</v>
      </c>
      <c r="F26">
        <v>1100</v>
      </c>
      <c r="G26">
        <v>225</v>
      </c>
      <c r="H26">
        <f t="shared" si="0"/>
        <v>673.46153846153663</v>
      </c>
    </row>
    <row r="27" spans="3:8" x14ac:dyDescent="0.25">
      <c r="C27">
        <v>3301</v>
      </c>
      <c r="D27">
        <v>3400</v>
      </c>
      <c r="E27">
        <v>0.20384615384615301</v>
      </c>
      <c r="F27">
        <v>1100</v>
      </c>
      <c r="G27">
        <v>225</v>
      </c>
      <c r="H27">
        <f t="shared" si="0"/>
        <v>693.84615384615199</v>
      </c>
    </row>
    <row r="28" spans="3:8" x14ac:dyDescent="0.25">
      <c r="C28">
        <v>3401</v>
      </c>
      <c r="D28">
        <v>3500</v>
      </c>
      <c r="E28">
        <v>0.20384615384615301</v>
      </c>
      <c r="F28">
        <v>1100</v>
      </c>
      <c r="G28">
        <v>225</v>
      </c>
      <c r="H28">
        <f t="shared" si="0"/>
        <v>714.23076923076724</v>
      </c>
    </row>
    <row r="29" spans="3:8" x14ac:dyDescent="0.25">
      <c r="C29">
        <v>3501</v>
      </c>
      <c r="D29">
        <v>3600</v>
      </c>
      <c r="E29">
        <v>0.20384615384615301</v>
      </c>
      <c r="F29">
        <v>1100</v>
      </c>
      <c r="G29">
        <v>225</v>
      </c>
      <c r="H29">
        <f t="shared" si="0"/>
        <v>734.61538461538248</v>
      </c>
    </row>
    <row r="30" spans="3:8" x14ac:dyDescent="0.25">
      <c r="C30">
        <v>3601</v>
      </c>
      <c r="D30">
        <v>3700</v>
      </c>
      <c r="E30">
        <v>0.20384615384615301</v>
      </c>
      <c r="F30">
        <v>1100</v>
      </c>
      <c r="G30">
        <v>225</v>
      </c>
      <c r="H30">
        <f t="shared" si="0"/>
        <v>754.99999999999784</v>
      </c>
    </row>
    <row r="31" spans="3:8" x14ac:dyDescent="0.25">
      <c r="C31">
        <v>3701</v>
      </c>
      <c r="D31">
        <v>3800</v>
      </c>
      <c r="E31">
        <v>0.20384615384615301</v>
      </c>
      <c r="F31">
        <v>1100</v>
      </c>
      <c r="G31">
        <v>225</v>
      </c>
      <c r="H31">
        <f t="shared" si="0"/>
        <v>775.38461538461308</v>
      </c>
    </row>
    <row r="32" spans="3:8" x14ac:dyDescent="0.25">
      <c r="C32">
        <v>3801</v>
      </c>
      <c r="D32">
        <v>3900</v>
      </c>
      <c r="E32">
        <v>0.20384615384615301</v>
      </c>
      <c r="F32">
        <v>1100</v>
      </c>
      <c r="G32">
        <v>225</v>
      </c>
      <c r="H32">
        <f t="shared" si="0"/>
        <v>795.76923076922844</v>
      </c>
    </row>
    <row r="33" spans="2:8" x14ac:dyDescent="0.25">
      <c r="C33">
        <v>3901</v>
      </c>
      <c r="D33">
        <v>4000</v>
      </c>
      <c r="E33">
        <v>0.20384615384615301</v>
      </c>
      <c r="F33">
        <v>1100</v>
      </c>
      <c r="G33">
        <v>225</v>
      </c>
      <c r="H33">
        <f t="shared" si="0"/>
        <v>816.15384615384369</v>
      </c>
    </row>
    <row r="34" spans="2:8" x14ac:dyDescent="0.25">
      <c r="C34">
        <v>4001</v>
      </c>
      <c r="D34">
        <v>4100</v>
      </c>
      <c r="E34">
        <v>0.20384615384615301</v>
      </c>
      <c r="F34">
        <v>1100</v>
      </c>
      <c r="G34">
        <v>225</v>
      </c>
      <c r="H34">
        <f t="shared" si="0"/>
        <v>836.53846153845905</v>
      </c>
    </row>
    <row r="35" spans="2:8" x14ac:dyDescent="0.25">
      <c r="C35">
        <v>4101</v>
      </c>
      <c r="D35">
        <v>4200</v>
      </c>
      <c r="E35">
        <v>0.20384615384615301</v>
      </c>
      <c r="F35">
        <v>1100</v>
      </c>
      <c r="G35">
        <v>225</v>
      </c>
      <c r="H35">
        <f t="shared" si="0"/>
        <v>856.92307692307429</v>
      </c>
    </row>
    <row r="36" spans="2:8" x14ac:dyDescent="0.25">
      <c r="C36">
        <v>4201</v>
      </c>
      <c r="D36">
        <v>4300</v>
      </c>
      <c r="E36">
        <v>0.20384615384615301</v>
      </c>
      <c r="F36">
        <v>1100</v>
      </c>
      <c r="G36">
        <v>225</v>
      </c>
      <c r="H36">
        <f t="shared" si="0"/>
        <v>877.30769230768965</v>
      </c>
    </row>
    <row r="37" spans="2:8" x14ac:dyDescent="0.25">
      <c r="C37">
        <v>4301</v>
      </c>
      <c r="D37">
        <v>4400</v>
      </c>
      <c r="E37">
        <v>0.20384615384615301</v>
      </c>
      <c r="F37">
        <v>1100</v>
      </c>
      <c r="G37">
        <v>225</v>
      </c>
      <c r="H37">
        <f t="shared" si="0"/>
        <v>897.69230769230489</v>
      </c>
    </row>
    <row r="38" spans="2:8" x14ac:dyDescent="0.25">
      <c r="C38">
        <v>4401</v>
      </c>
      <c r="D38">
        <v>4500</v>
      </c>
      <c r="E38">
        <v>0.20384615384615301</v>
      </c>
      <c r="F38">
        <v>1100</v>
      </c>
      <c r="G38">
        <v>225</v>
      </c>
      <c r="H38">
        <f t="shared" si="0"/>
        <v>918.07692307692025</v>
      </c>
    </row>
    <row r="39" spans="2:8" x14ac:dyDescent="0.25">
      <c r="C39">
        <v>4501</v>
      </c>
      <c r="D39">
        <v>4600</v>
      </c>
      <c r="E39">
        <v>0.20384615384615301</v>
      </c>
      <c r="F39">
        <v>1100</v>
      </c>
      <c r="G39">
        <v>225</v>
      </c>
      <c r="H39">
        <f t="shared" si="0"/>
        <v>938.4615384615355</v>
      </c>
    </row>
    <row r="40" spans="2:8" x14ac:dyDescent="0.25">
      <c r="C40">
        <v>4601</v>
      </c>
      <c r="D40">
        <v>4700</v>
      </c>
      <c r="E40">
        <v>0.20384615384615301</v>
      </c>
      <c r="F40">
        <v>1100</v>
      </c>
      <c r="G40">
        <v>225</v>
      </c>
      <c r="H40">
        <f t="shared" si="0"/>
        <v>958.84615384615086</v>
      </c>
    </row>
    <row r="41" spans="2:8" x14ac:dyDescent="0.25">
      <c r="C41">
        <v>4701</v>
      </c>
      <c r="D41">
        <v>4800</v>
      </c>
      <c r="E41">
        <v>0.20384615384615301</v>
      </c>
      <c r="F41">
        <v>1100</v>
      </c>
      <c r="G41">
        <v>225</v>
      </c>
      <c r="H41">
        <f t="shared" si="0"/>
        <v>979.2307692307661</v>
      </c>
    </row>
    <row r="42" spans="2:8" x14ac:dyDescent="0.25">
      <c r="C42">
        <v>4801</v>
      </c>
      <c r="D42">
        <v>4900</v>
      </c>
      <c r="E42">
        <v>0.20384615384615301</v>
      </c>
      <c r="F42">
        <v>1100</v>
      </c>
      <c r="G42">
        <v>225</v>
      </c>
      <c r="H42">
        <f t="shared" si="0"/>
        <v>999.61538461538146</v>
      </c>
    </row>
    <row r="43" spans="2:8" x14ac:dyDescent="0.25">
      <c r="B43" t="s">
        <v>36</v>
      </c>
      <c r="C43">
        <v>4901</v>
      </c>
      <c r="D43">
        <v>5000</v>
      </c>
      <c r="E43">
        <v>0.20384615384615301</v>
      </c>
      <c r="F43">
        <v>1100</v>
      </c>
      <c r="G43">
        <v>225</v>
      </c>
      <c r="H43">
        <f t="shared" si="0"/>
        <v>1019.9999999999967</v>
      </c>
    </row>
    <row r="44" spans="2:8" x14ac:dyDescent="0.25">
      <c r="B44" t="s">
        <v>36</v>
      </c>
      <c r="C44">
        <v>5001</v>
      </c>
      <c r="D44">
        <v>5100</v>
      </c>
      <c r="E44">
        <v>3.8888888888888903E-2</v>
      </c>
      <c r="F44">
        <v>5100</v>
      </c>
      <c r="G44">
        <v>1045</v>
      </c>
      <c r="H44">
        <f t="shared" si="0"/>
        <v>1045</v>
      </c>
    </row>
    <row r="45" spans="2:8" x14ac:dyDescent="0.25">
      <c r="C45">
        <v>5101</v>
      </c>
      <c r="D45">
        <v>5200</v>
      </c>
      <c r="E45">
        <v>3.8888888888888903E-2</v>
      </c>
      <c r="F45">
        <v>5100</v>
      </c>
      <c r="G45">
        <v>1045</v>
      </c>
      <c r="H45">
        <f t="shared" si="0"/>
        <v>1048.8888888888889</v>
      </c>
    </row>
    <row r="46" spans="2:8" x14ac:dyDescent="0.25">
      <c r="C46">
        <v>5201</v>
      </c>
      <c r="D46">
        <v>5300</v>
      </c>
      <c r="E46">
        <v>3.8888888888888903E-2</v>
      </c>
      <c r="F46">
        <v>5100</v>
      </c>
      <c r="G46">
        <v>1045</v>
      </c>
      <c r="H46">
        <f t="shared" si="0"/>
        <v>1052.7777777777778</v>
      </c>
    </row>
    <row r="47" spans="2:8" x14ac:dyDescent="0.25">
      <c r="C47">
        <v>5301</v>
      </c>
      <c r="D47">
        <v>5400</v>
      </c>
      <c r="E47">
        <v>3.8888888888888903E-2</v>
      </c>
      <c r="F47">
        <v>5100</v>
      </c>
      <c r="G47">
        <v>1045</v>
      </c>
      <c r="H47">
        <f t="shared" si="0"/>
        <v>1056.6666666666667</v>
      </c>
    </row>
    <row r="48" spans="2:8" x14ac:dyDescent="0.25">
      <c r="C48">
        <v>5401</v>
      </c>
      <c r="D48">
        <v>5500</v>
      </c>
      <c r="E48">
        <v>3.8888888888888903E-2</v>
      </c>
      <c r="F48">
        <v>5100</v>
      </c>
      <c r="G48">
        <v>1045</v>
      </c>
      <c r="H48">
        <f t="shared" si="0"/>
        <v>1060.5555555555557</v>
      </c>
    </row>
    <row r="49" spans="3:8" x14ac:dyDescent="0.25">
      <c r="C49">
        <v>5501</v>
      </c>
      <c r="D49">
        <v>5600</v>
      </c>
      <c r="E49">
        <v>3.8888888888888903E-2</v>
      </c>
      <c r="F49">
        <v>5100</v>
      </c>
      <c r="G49">
        <v>1045</v>
      </c>
      <c r="H49">
        <f t="shared" si="0"/>
        <v>1064.4444444444443</v>
      </c>
    </row>
    <row r="50" spans="3:8" x14ac:dyDescent="0.25">
      <c r="C50">
        <v>5601</v>
      </c>
      <c r="D50">
        <v>5700</v>
      </c>
      <c r="E50">
        <v>3.8888888888888903E-2</v>
      </c>
      <c r="F50">
        <v>5100</v>
      </c>
      <c r="G50">
        <v>1045</v>
      </c>
      <c r="H50">
        <f t="shared" si="0"/>
        <v>1068.3333333333333</v>
      </c>
    </row>
    <row r="51" spans="3:8" x14ac:dyDescent="0.25">
      <c r="C51">
        <v>5701</v>
      </c>
      <c r="D51">
        <v>5800</v>
      </c>
      <c r="E51">
        <v>3.8888888888888903E-2</v>
      </c>
      <c r="F51">
        <v>5100</v>
      </c>
      <c r="G51">
        <v>1045</v>
      </c>
      <c r="H51">
        <f t="shared" si="0"/>
        <v>1072.2222222222222</v>
      </c>
    </row>
    <row r="52" spans="3:8" x14ac:dyDescent="0.25">
      <c r="C52">
        <v>5801</v>
      </c>
      <c r="D52">
        <v>5900</v>
      </c>
      <c r="E52">
        <v>3.8888888888888903E-2</v>
      </c>
      <c r="F52">
        <v>5100</v>
      </c>
      <c r="G52">
        <v>1045</v>
      </c>
      <c r="H52">
        <f t="shared" si="0"/>
        <v>1076.1111111111111</v>
      </c>
    </row>
    <row r="53" spans="3:8" x14ac:dyDescent="0.25">
      <c r="C53">
        <v>5901</v>
      </c>
      <c r="D53">
        <v>6000</v>
      </c>
      <c r="E53">
        <v>3.8888888888888903E-2</v>
      </c>
      <c r="F53">
        <v>5100</v>
      </c>
      <c r="G53">
        <v>1045</v>
      </c>
      <c r="H53">
        <f t="shared" si="0"/>
        <v>1080</v>
      </c>
    </row>
    <row r="54" spans="3:8" x14ac:dyDescent="0.25">
      <c r="C54">
        <v>6001</v>
      </c>
      <c r="D54">
        <v>6100</v>
      </c>
      <c r="E54">
        <v>3.8888888888888903E-2</v>
      </c>
      <c r="F54">
        <v>5100</v>
      </c>
      <c r="G54">
        <v>1045</v>
      </c>
      <c r="H54">
        <f t="shared" si="0"/>
        <v>1083.8888888888889</v>
      </c>
    </row>
    <row r="55" spans="3:8" x14ac:dyDescent="0.25">
      <c r="C55">
        <v>6101</v>
      </c>
      <c r="D55">
        <v>6200</v>
      </c>
      <c r="E55">
        <v>3.8888888888888903E-2</v>
      </c>
      <c r="F55">
        <v>5100</v>
      </c>
      <c r="G55">
        <v>1045</v>
      </c>
      <c r="H55">
        <f t="shared" si="0"/>
        <v>1087.7777777777778</v>
      </c>
    </row>
    <row r="56" spans="3:8" x14ac:dyDescent="0.25">
      <c r="C56">
        <v>6201</v>
      </c>
      <c r="D56">
        <v>6300</v>
      </c>
      <c r="E56">
        <v>3.8888888888888903E-2</v>
      </c>
      <c r="F56">
        <v>5100</v>
      </c>
      <c r="G56">
        <v>1045</v>
      </c>
      <c r="H56">
        <f t="shared" si="0"/>
        <v>1091.6666666666667</v>
      </c>
    </row>
    <row r="57" spans="3:8" x14ac:dyDescent="0.25">
      <c r="C57">
        <v>6301</v>
      </c>
      <c r="D57">
        <v>6400</v>
      </c>
      <c r="E57">
        <v>3.8888888888888903E-2</v>
      </c>
      <c r="F57">
        <v>5100</v>
      </c>
      <c r="G57">
        <v>1045</v>
      </c>
      <c r="H57">
        <f t="shared" si="0"/>
        <v>1095.5555555555557</v>
      </c>
    </row>
    <row r="58" spans="3:8" x14ac:dyDescent="0.25">
      <c r="C58">
        <v>6401</v>
      </c>
      <c r="D58">
        <v>6500</v>
      </c>
      <c r="E58">
        <v>3.8888888888888903E-2</v>
      </c>
      <c r="F58">
        <v>5100</v>
      </c>
      <c r="G58">
        <v>1045</v>
      </c>
      <c r="H58">
        <f t="shared" si="0"/>
        <v>1099.4444444444446</v>
      </c>
    </row>
    <row r="59" spans="3:8" x14ac:dyDescent="0.25">
      <c r="C59">
        <v>6501</v>
      </c>
      <c r="D59">
        <v>6600</v>
      </c>
      <c r="E59">
        <v>3.8888888888888903E-2</v>
      </c>
      <c r="F59">
        <v>5100</v>
      </c>
      <c r="G59">
        <v>1045</v>
      </c>
      <c r="H59">
        <f t="shared" si="0"/>
        <v>1103.3333333333333</v>
      </c>
    </row>
    <row r="60" spans="3:8" x14ac:dyDescent="0.25">
      <c r="C60">
        <v>6601</v>
      </c>
      <c r="D60">
        <v>6700</v>
      </c>
      <c r="E60">
        <v>3.8888888888888903E-2</v>
      </c>
      <c r="F60">
        <v>5100</v>
      </c>
      <c r="G60">
        <v>1045</v>
      </c>
      <c r="H60">
        <f t="shared" si="0"/>
        <v>1107.2222222222222</v>
      </c>
    </row>
    <row r="61" spans="3:8" x14ac:dyDescent="0.25">
      <c r="C61">
        <v>6701</v>
      </c>
      <c r="D61">
        <v>6800</v>
      </c>
      <c r="E61">
        <v>3.8888888888888903E-2</v>
      </c>
      <c r="F61">
        <v>5100</v>
      </c>
      <c r="G61">
        <v>1045</v>
      </c>
      <c r="H61">
        <f t="shared" si="0"/>
        <v>1111.1111111111111</v>
      </c>
    </row>
    <row r="62" spans="3:8" x14ac:dyDescent="0.25">
      <c r="C62">
        <v>6801</v>
      </c>
      <c r="D62">
        <v>6900</v>
      </c>
      <c r="E62">
        <v>3.8888888888888903E-2</v>
      </c>
      <c r="F62">
        <v>5100</v>
      </c>
      <c r="G62">
        <v>1045</v>
      </c>
      <c r="H62">
        <f t="shared" si="0"/>
        <v>1115</v>
      </c>
    </row>
    <row r="63" spans="3:8" x14ac:dyDescent="0.25">
      <c r="C63">
        <v>6901</v>
      </c>
      <c r="D63">
        <v>7000</v>
      </c>
      <c r="E63">
        <v>3.8888888888888903E-2</v>
      </c>
      <c r="F63">
        <v>5100</v>
      </c>
      <c r="G63">
        <v>1045</v>
      </c>
      <c r="H63">
        <f t="shared" si="0"/>
        <v>1118.8888888888889</v>
      </c>
    </row>
    <row r="64" spans="3:8" x14ac:dyDescent="0.25">
      <c r="C64">
        <v>7001</v>
      </c>
      <c r="D64">
        <v>7100</v>
      </c>
      <c r="E64">
        <v>3.8888888888888903E-2</v>
      </c>
      <c r="F64">
        <v>5100</v>
      </c>
      <c r="G64">
        <v>1045</v>
      </c>
      <c r="H64">
        <f t="shared" si="0"/>
        <v>1122.7777777777778</v>
      </c>
    </row>
    <row r="65" spans="3:8" x14ac:dyDescent="0.25">
      <c r="C65">
        <v>7101</v>
      </c>
      <c r="D65">
        <v>7200</v>
      </c>
      <c r="E65">
        <v>3.8888888888888903E-2</v>
      </c>
      <c r="F65">
        <v>5100</v>
      </c>
      <c r="G65">
        <v>1045</v>
      </c>
      <c r="H65">
        <f t="shared" si="0"/>
        <v>1126.6666666666667</v>
      </c>
    </row>
    <row r="66" spans="3:8" x14ac:dyDescent="0.25">
      <c r="C66">
        <v>7201</v>
      </c>
      <c r="D66">
        <v>7300</v>
      </c>
      <c r="E66">
        <v>3.8888888888888903E-2</v>
      </c>
      <c r="F66">
        <v>5100</v>
      </c>
      <c r="G66">
        <v>1045</v>
      </c>
      <c r="H66">
        <f t="shared" si="0"/>
        <v>1130.5555555555557</v>
      </c>
    </row>
    <row r="67" spans="3:8" x14ac:dyDescent="0.25">
      <c r="C67">
        <v>7301</v>
      </c>
      <c r="D67">
        <v>7400</v>
      </c>
      <c r="E67">
        <v>3.8888888888888903E-2</v>
      </c>
      <c r="F67">
        <v>5100</v>
      </c>
      <c r="G67">
        <v>1045</v>
      </c>
      <c r="H67">
        <f t="shared" si="0"/>
        <v>1134.4444444444446</v>
      </c>
    </row>
    <row r="68" spans="3:8" x14ac:dyDescent="0.25">
      <c r="C68">
        <v>7401</v>
      </c>
      <c r="D68">
        <v>7500</v>
      </c>
      <c r="E68">
        <v>3.8888888888888903E-2</v>
      </c>
      <c r="F68">
        <v>5100</v>
      </c>
      <c r="G68">
        <v>1045</v>
      </c>
      <c r="H68">
        <f t="shared" ref="H68:H131" si="1">G68+(D68-F68)*E68</f>
        <v>1138.3333333333335</v>
      </c>
    </row>
    <row r="69" spans="3:8" x14ac:dyDescent="0.25">
      <c r="C69">
        <v>7501</v>
      </c>
      <c r="D69">
        <v>7600</v>
      </c>
      <c r="E69">
        <v>3.8888888888888903E-2</v>
      </c>
      <c r="F69">
        <v>5100</v>
      </c>
      <c r="G69">
        <v>1045</v>
      </c>
      <c r="H69">
        <f t="shared" si="1"/>
        <v>1142.2222222222222</v>
      </c>
    </row>
    <row r="70" spans="3:8" x14ac:dyDescent="0.25">
      <c r="C70">
        <v>7601</v>
      </c>
      <c r="D70">
        <v>7700</v>
      </c>
      <c r="E70">
        <v>3.8888888888888903E-2</v>
      </c>
      <c r="F70">
        <v>5100</v>
      </c>
      <c r="G70">
        <v>1045</v>
      </c>
      <c r="H70">
        <f t="shared" si="1"/>
        <v>1146.1111111111111</v>
      </c>
    </row>
    <row r="71" spans="3:8" x14ac:dyDescent="0.25">
      <c r="C71">
        <v>7701</v>
      </c>
      <c r="D71">
        <v>7800</v>
      </c>
      <c r="E71">
        <v>3.8888888888888903E-2</v>
      </c>
      <c r="F71">
        <v>5100</v>
      </c>
      <c r="G71">
        <v>1045</v>
      </c>
      <c r="H71">
        <f t="shared" si="1"/>
        <v>1150</v>
      </c>
    </row>
    <row r="72" spans="3:8" x14ac:dyDescent="0.25">
      <c r="C72">
        <v>7801</v>
      </c>
      <c r="D72">
        <v>7900</v>
      </c>
      <c r="E72">
        <v>3.8888888888888903E-2</v>
      </c>
      <c r="F72">
        <v>5100</v>
      </c>
      <c r="G72">
        <v>1045</v>
      </c>
      <c r="H72">
        <f t="shared" si="1"/>
        <v>1153.8888888888889</v>
      </c>
    </row>
    <row r="73" spans="3:8" x14ac:dyDescent="0.25">
      <c r="C73">
        <v>7901</v>
      </c>
      <c r="D73">
        <v>8000</v>
      </c>
      <c r="E73">
        <v>3.8888888888888903E-2</v>
      </c>
      <c r="F73">
        <v>5100</v>
      </c>
      <c r="G73">
        <v>1045</v>
      </c>
      <c r="H73">
        <f t="shared" si="1"/>
        <v>1157.7777777777778</v>
      </c>
    </row>
    <row r="74" spans="3:8" x14ac:dyDescent="0.25">
      <c r="C74">
        <v>8001</v>
      </c>
      <c r="D74">
        <v>8100</v>
      </c>
      <c r="E74">
        <v>3.8888888888888903E-2</v>
      </c>
      <c r="F74">
        <v>5100</v>
      </c>
      <c r="G74">
        <v>1045</v>
      </c>
      <c r="H74">
        <f t="shared" si="1"/>
        <v>1161.6666666666667</v>
      </c>
    </row>
    <row r="75" spans="3:8" x14ac:dyDescent="0.25">
      <c r="C75">
        <v>8101</v>
      </c>
      <c r="D75">
        <v>8200</v>
      </c>
      <c r="E75">
        <v>3.8888888888888903E-2</v>
      </c>
      <c r="F75">
        <v>5100</v>
      </c>
      <c r="G75">
        <v>1045</v>
      </c>
      <c r="H75">
        <f t="shared" si="1"/>
        <v>1165.5555555555557</v>
      </c>
    </row>
    <row r="76" spans="3:8" x14ac:dyDescent="0.25">
      <c r="C76">
        <v>8201</v>
      </c>
      <c r="D76">
        <v>8300</v>
      </c>
      <c r="E76">
        <v>3.8888888888888903E-2</v>
      </c>
      <c r="F76">
        <v>5100</v>
      </c>
      <c r="G76">
        <v>1045</v>
      </c>
      <c r="H76">
        <f t="shared" si="1"/>
        <v>1169.4444444444446</v>
      </c>
    </row>
    <row r="77" spans="3:8" x14ac:dyDescent="0.25">
      <c r="C77">
        <v>8301</v>
      </c>
      <c r="D77">
        <v>8400</v>
      </c>
      <c r="E77">
        <v>3.8888888888888903E-2</v>
      </c>
      <c r="F77">
        <v>5100</v>
      </c>
      <c r="G77">
        <v>1045</v>
      </c>
      <c r="H77">
        <f t="shared" si="1"/>
        <v>1173.3333333333335</v>
      </c>
    </row>
    <row r="78" spans="3:8" x14ac:dyDescent="0.25">
      <c r="C78">
        <v>8401</v>
      </c>
      <c r="D78">
        <v>8500</v>
      </c>
      <c r="E78">
        <v>3.8888888888888903E-2</v>
      </c>
      <c r="F78">
        <v>5100</v>
      </c>
      <c r="G78">
        <v>1045</v>
      </c>
      <c r="H78">
        <f t="shared" si="1"/>
        <v>1177.2222222222222</v>
      </c>
    </row>
    <row r="79" spans="3:8" x14ac:dyDescent="0.25">
      <c r="C79">
        <v>8501</v>
      </c>
      <c r="D79">
        <v>8600</v>
      </c>
      <c r="E79">
        <v>3.8888888888888903E-2</v>
      </c>
      <c r="F79">
        <v>5100</v>
      </c>
      <c r="G79">
        <v>1045</v>
      </c>
      <c r="H79">
        <f t="shared" si="1"/>
        <v>1181.1111111111111</v>
      </c>
    </row>
    <row r="80" spans="3:8" x14ac:dyDescent="0.25">
      <c r="C80">
        <v>8601</v>
      </c>
      <c r="D80">
        <v>8700</v>
      </c>
      <c r="E80">
        <v>3.8888888888888903E-2</v>
      </c>
      <c r="F80">
        <v>5100</v>
      </c>
      <c r="G80">
        <v>1045</v>
      </c>
      <c r="H80">
        <f t="shared" si="1"/>
        <v>1185</v>
      </c>
    </row>
    <row r="81" spans="3:8" x14ac:dyDescent="0.25">
      <c r="C81">
        <v>8701</v>
      </c>
      <c r="D81">
        <v>8800</v>
      </c>
      <c r="E81">
        <v>3.8888888888888903E-2</v>
      </c>
      <c r="F81">
        <v>5100</v>
      </c>
      <c r="G81">
        <v>1045</v>
      </c>
      <c r="H81">
        <f t="shared" si="1"/>
        <v>1188.8888888888889</v>
      </c>
    </row>
    <row r="82" spans="3:8" x14ac:dyDescent="0.25">
      <c r="C82">
        <v>8801</v>
      </c>
      <c r="D82">
        <v>8900</v>
      </c>
      <c r="E82">
        <v>3.8888888888888903E-2</v>
      </c>
      <c r="F82">
        <v>5100</v>
      </c>
      <c r="G82">
        <v>1045</v>
      </c>
      <c r="H82">
        <f t="shared" si="1"/>
        <v>1192.7777777777778</v>
      </c>
    </row>
    <row r="83" spans="3:8" x14ac:dyDescent="0.25">
      <c r="C83">
        <v>8901</v>
      </c>
      <c r="D83">
        <v>9000</v>
      </c>
      <c r="E83">
        <v>3.8888888888888903E-2</v>
      </c>
      <c r="F83">
        <v>5100</v>
      </c>
      <c r="G83">
        <v>1045</v>
      </c>
      <c r="H83">
        <f t="shared" si="1"/>
        <v>1196.6666666666667</v>
      </c>
    </row>
    <row r="84" spans="3:8" x14ac:dyDescent="0.25">
      <c r="C84">
        <v>9001</v>
      </c>
      <c r="D84">
        <v>9100</v>
      </c>
      <c r="E84">
        <v>3.8888888888888903E-2</v>
      </c>
      <c r="F84">
        <v>5100</v>
      </c>
      <c r="G84">
        <v>1045</v>
      </c>
      <c r="H84">
        <f t="shared" si="1"/>
        <v>1200.5555555555557</v>
      </c>
    </row>
    <row r="85" spans="3:8" x14ac:dyDescent="0.25">
      <c r="C85">
        <v>9101</v>
      </c>
      <c r="D85">
        <v>9200</v>
      </c>
      <c r="E85">
        <v>3.8888888888888903E-2</v>
      </c>
      <c r="F85">
        <v>5100</v>
      </c>
      <c r="G85">
        <v>1045</v>
      </c>
      <c r="H85">
        <f t="shared" si="1"/>
        <v>1204.4444444444446</v>
      </c>
    </row>
    <row r="86" spans="3:8" x14ac:dyDescent="0.25">
      <c r="C86">
        <v>9201</v>
      </c>
      <c r="D86">
        <v>9300</v>
      </c>
      <c r="E86">
        <v>3.8888888888888903E-2</v>
      </c>
      <c r="F86">
        <v>5100</v>
      </c>
      <c r="G86">
        <v>1045</v>
      </c>
      <c r="H86">
        <f t="shared" si="1"/>
        <v>1208.3333333333335</v>
      </c>
    </row>
    <row r="87" spans="3:8" x14ac:dyDescent="0.25">
      <c r="C87">
        <v>9301</v>
      </c>
      <c r="D87">
        <v>9400</v>
      </c>
      <c r="E87">
        <v>3.8888888888888903E-2</v>
      </c>
      <c r="F87">
        <v>5100</v>
      </c>
      <c r="G87">
        <v>1045</v>
      </c>
      <c r="H87">
        <f t="shared" si="1"/>
        <v>1212.2222222222222</v>
      </c>
    </row>
    <row r="88" spans="3:8" x14ac:dyDescent="0.25">
      <c r="C88">
        <v>9401</v>
      </c>
      <c r="D88">
        <v>9500</v>
      </c>
      <c r="E88">
        <v>3.8888888888888903E-2</v>
      </c>
      <c r="F88">
        <v>5100</v>
      </c>
      <c r="G88">
        <v>1045</v>
      </c>
      <c r="H88">
        <f t="shared" si="1"/>
        <v>1216.1111111111111</v>
      </c>
    </row>
    <row r="89" spans="3:8" x14ac:dyDescent="0.25">
      <c r="C89">
        <v>9501</v>
      </c>
      <c r="D89">
        <v>9600</v>
      </c>
      <c r="E89">
        <v>3.8888888888888903E-2</v>
      </c>
      <c r="F89">
        <v>5100</v>
      </c>
      <c r="G89">
        <v>1045</v>
      </c>
      <c r="H89">
        <f t="shared" si="1"/>
        <v>1220</v>
      </c>
    </row>
    <row r="90" spans="3:8" x14ac:dyDescent="0.25">
      <c r="C90">
        <v>9601</v>
      </c>
      <c r="D90">
        <v>9700</v>
      </c>
      <c r="E90">
        <v>3.8888888888888903E-2</v>
      </c>
      <c r="F90">
        <v>5100</v>
      </c>
      <c r="G90">
        <v>1045</v>
      </c>
      <c r="H90">
        <f t="shared" si="1"/>
        <v>1223.8888888888889</v>
      </c>
    </row>
    <row r="91" spans="3:8" x14ac:dyDescent="0.25">
      <c r="C91">
        <v>9701</v>
      </c>
      <c r="D91">
        <v>9800</v>
      </c>
      <c r="E91">
        <v>3.8888888888888903E-2</v>
      </c>
      <c r="F91">
        <v>5100</v>
      </c>
      <c r="G91">
        <v>1045</v>
      </c>
      <c r="H91">
        <f t="shared" si="1"/>
        <v>1227.7777777777778</v>
      </c>
    </row>
    <row r="92" spans="3:8" x14ac:dyDescent="0.25">
      <c r="C92">
        <v>9801</v>
      </c>
      <c r="D92">
        <v>9900</v>
      </c>
      <c r="E92">
        <v>3.8888888888888903E-2</v>
      </c>
      <c r="F92">
        <v>5100</v>
      </c>
      <c r="G92">
        <v>1045</v>
      </c>
      <c r="H92">
        <f t="shared" si="1"/>
        <v>1231.6666666666667</v>
      </c>
    </row>
    <row r="93" spans="3:8" x14ac:dyDescent="0.25">
      <c r="C93">
        <v>9901</v>
      </c>
      <c r="D93">
        <v>10000</v>
      </c>
      <c r="E93">
        <v>3.8888888888888903E-2</v>
      </c>
      <c r="F93">
        <v>5100</v>
      </c>
      <c r="G93">
        <v>1045</v>
      </c>
      <c r="H93">
        <f t="shared" si="1"/>
        <v>1235.5555555555557</v>
      </c>
    </row>
    <row r="94" spans="3:8" x14ac:dyDescent="0.25">
      <c r="C94">
        <v>10001</v>
      </c>
      <c r="D94">
        <v>10100</v>
      </c>
      <c r="E94">
        <v>3.8888888888888903E-2</v>
      </c>
      <c r="F94">
        <v>5100</v>
      </c>
      <c r="G94">
        <v>1045</v>
      </c>
      <c r="H94">
        <f t="shared" si="1"/>
        <v>1239.4444444444446</v>
      </c>
    </row>
    <row r="95" spans="3:8" x14ac:dyDescent="0.25">
      <c r="C95">
        <v>10101</v>
      </c>
      <c r="D95">
        <v>10200</v>
      </c>
      <c r="E95">
        <v>3.8888888888888903E-2</v>
      </c>
      <c r="F95">
        <v>5100</v>
      </c>
      <c r="G95">
        <v>1045</v>
      </c>
      <c r="H95">
        <f t="shared" si="1"/>
        <v>1243.3333333333335</v>
      </c>
    </row>
    <row r="96" spans="3:8" x14ac:dyDescent="0.25">
      <c r="C96">
        <v>10201</v>
      </c>
      <c r="D96">
        <v>10300</v>
      </c>
      <c r="E96">
        <v>3.8888888888888903E-2</v>
      </c>
      <c r="F96">
        <v>5100</v>
      </c>
      <c r="G96">
        <v>1045</v>
      </c>
      <c r="H96">
        <f t="shared" si="1"/>
        <v>1247.2222222222222</v>
      </c>
    </row>
    <row r="97" spans="3:8" x14ac:dyDescent="0.25">
      <c r="C97">
        <v>10301</v>
      </c>
      <c r="D97">
        <v>10400</v>
      </c>
      <c r="E97">
        <v>3.8888888888888903E-2</v>
      </c>
      <c r="F97">
        <v>5100</v>
      </c>
      <c r="G97">
        <v>1045</v>
      </c>
      <c r="H97">
        <f t="shared" si="1"/>
        <v>1251.1111111111113</v>
      </c>
    </row>
    <row r="98" spans="3:8" x14ac:dyDescent="0.25">
      <c r="C98">
        <v>10401</v>
      </c>
      <c r="D98">
        <v>10500</v>
      </c>
      <c r="E98">
        <v>3.8888888888888903E-2</v>
      </c>
      <c r="F98">
        <v>5100</v>
      </c>
      <c r="G98">
        <v>1045</v>
      </c>
      <c r="H98">
        <f t="shared" si="1"/>
        <v>1255</v>
      </c>
    </row>
    <row r="99" spans="3:8" x14ac:dyDescent="0.25">
      <c r="C99">
        <v>10501</v>
      </c>
      <c r="D99">
        <v>10600</v>
      </c>
      <c r="E99">
        <v>3.8888888888888903E-2</v>
      </c>
      <c r="F99">
        <v>5100</v>
      </c>
      <c r="G99">
        <v>1045</v>
      </c>
      <c r="H99">
        <f t="shared" si="1"/>
        <v>1258.8888888888889</v>
      </c>
    </row>
    <row r="100" spans="3:8" x14ac:dyDescent="0.25">
      <c r="C100">
        <v>10601</v>
      </c>
      <c r="D100">
        <v>10700</v>
      </c>
      <c r="E100">
        <v>3.8888888888888903E-2</v>
      </c>
      <c r="F100">
        <v>5100</v>
      </c>
      <c r="G100">
        <v>1045</v>
      </c>
      <c r="H100">
        <f t="shared" si="1"/>
        <v>1262.7777777777778</v>
      </c>
    </row>
    <row r="101" spans="3:8" x14ac:dyDescent="0.25">
      <c r="C101">
        <v>10701</v>
      </c>
      <c r="D101">
        <v>10800</v>
      </c>
      <c r="E101">
        <v>3.8888888888888903E-2</v>
      </c>
      <c r="F101">
        <v>5100</v>
      </c>
      <c r="G101">
        <v>1045</v>
      </c>
      <c r="H101">
        <f t="shared" si="1"/>
        <v>1266.6666666666667</v>
      </c>
    </row>
    <row r="102" spans="3:8" x14ac:dyDescent="0.25">
      <c r="C102">
        <v>10801</v>
      </c>
      <c r="D102">
        <v>10900</v>
      </c>
      <c r="E102">
        <v>3.8888888888888903E-2</v>
      </c>
      <c r="F102">
        <v>5100</v>
      </c>
      <c r="G102">
        <v>1045</v>
      </c>
      <c r="H102">
        <f t="shared" si="1"/>
        <v>1270.5555555555557</v>
      </c>
    </row>
    <row r="103" spans="3:8" x14ac:dyDescent="0.25">
      <c r="C103">
        <v>10901</v>
      </c>
      <c r="D103">
        <v>11000</v>
      </c>
      <c r="E103">
        <v>3.8888888888888903E-2</v>
      </c>
      <c r="F103">
        <v>5100</v>
      </c>
      <c r="G103">
        <v>1045</v>
      </c>
      <c r="H103">
        <f t="shared" si="1"/>
        <v>1274.4444444444446</v>
      </c>
    </row>
    <row r="104" spans="3:8" x14ac:dyDescent="0.25">
      <c r="C104">
        <v>11001</v>
      </c>
      <c r="D104">
        <v>11100</v>
      </c>
      <c r="E104">
        <v>3.8888888888888903E-2</v>
      </c>
      <c r="F104">
        <v>5100</v>
      </c>
      <c r="G104">
        <v>1045</v>
      </c>
      <c r="H104">
        <f t="shared" si="1"/>
        <v>1278.3333333333335</v>
      </c>
    </row>
    <row r="105" spans="3:8" x14ac:dyDescent="0.25">
      <c r="C105">
        <v>11101</v>
      </c>
      <c r="D105">
        <v>11200</v>
      </c>
      <c r="E105">
        <v>3.8888888888888903E-2</v>
      </c>
      <c r="F105">
        <v>5100</v>
      </c>
      <c r="G105">
        <v>1045</v>
      </c>
      <c r="H105">
        <f t="shared" si="1"/>
        <v>1282.2222222222224</v>
      </c>
    </row>
    <row r="106" spans="3:8" x14ac:dyDescent="0.25">
      <c r="C106">
        <v>11201</v>
      </c>
      <c r="D106">
        <v>11300</v>
      </c>
      <c r="E106">
        <v>3.8888888888888903E-2</v>
      </c>
      <c r="F106">
        <v>5100</v>
      </c>
      <c r="G106">
        <v>1045</v>
      </c>
      <c r="H106">
        <f t="shared" si="1"/>
        <v>1286.1111111111113</v>
      </c>
    </row>
    <row r="107" spans="3:8" x14ac:dyDescent="0.25">
      <c r="C107">
        <v>11301</v>
      </c>
      <c r="D107">
        <v>11400</v>
      </c>
      <c r="E107">
        <v>3.8888888888888903E-2</v>
      </c>
      <c r="F107">
        <v>5100</v>
      </c>
      <c r="G107">
        <v>1045</v>
      </c>
      <c r="H107">
        <f t="shared" si="1"/>
        <v>1290</v>
      </c>
    </row>
    <row r="108" spans="3:8" x14ac:dyDescent="0.25">
      <c r="C108">
        <v>11401</v>
      </c>
      <c r="D108">
        <v>11500</v>
      </c>
      <c r="E108">
        <v>3.8888888888888903E-2</v>
      </c>
      <c r="F108">
        <v>5100</v>
      </c>
      <c r="G108">
        <v>1045</v>
      </c>
      <c r="H108">
        <f t="shared" si="1"/>
        <v>1293.8888888888889</v>
      </c>
    </row>
    <row r="109" spans="3:8" x14ac:dyDescent="0.25">
      <c r="C109">
        <v>11501</v>
      </c>
      <c r="D109">
        <v>11600</v>
      </c>
      <c r="E109">
        <v>3.8888888888888903E-2</v>
      </c>
      <c r="F109">
        <v>5100</v>
      </c>
      <c r="G109">
        <v>1045</v>
      </c>
      <c r="H109">
        <f t="shared" si="1"/>
        <v>1297.7777777777778</v>
      </c>
    </row>
    <row r="110" spans="3:8" x14ac:dyDescent="0.25">
      <c r="C110">
        <v>11601</v>
      </c>
      <c r="D110">
        <v>11700</v>
      </c>
      <c r="E110">
        <v>3.8888888888888903E-2</v>
      </c>
      <c r="F110">
        <v>5100</v>
      </c>
      <c r="G110">
        <v>1045</v>
      </c>
      <c r="H110">
        <f t="shared" si="1"/>
        <v>1301.6666666666667</v>
      </c>
    </row>
    <row r="111" spans="3:8" x14ac:dyDescent="0.25">
      <c r="C111">
        <v>11701</v>
      </c>
      <c r="D111">
        <v>11800</v>
      </c>
      <c r="E111">
        <v>3.8888888888888903E-2</v>
      </c>
      <c r="F111">
        <v>5100</v>
      </c>
      <c r="G111">
        <v>1045</v>
      </c>
      <c r="H111">
        <f t="shared" si="1"/>
        <v>1305.5555555555557</v>
      </c>
    </row>
    <row r="112" spans="3:8" x14ac:dyDescent="0.25">
      <c r="C112">
        <v>11801</v>
      </c>
      <c r="D112">
        <v>11900</v>
      </c>
      <c r="E112">
        <v>3.8888888888888903E-2</v>
      </c>
      <c r="F112">
        <v>5100</v>
      </c>
      <c r="G112">
        <v>1045</v>
      </c>
      <c r="H112">
        <f t="shared" si="1"/>
        <v>1309.4444444444446</v>
      </c>
    </row>
    <row r="113" spans="3:8" x14ac:dyDescent="0.25">
      <c r="C113">
        <v>11901</v>
      </c>
      <c r="D113">
        <v>12000</v>
      </c>
      <c r="E113">
        <v>3.8888888888888903E-2</v>
      </c>
      <c r="F113">
        <v>5100</v>
      </c>
      <c r="G113">
        <v>1045</v>
      </c>
      <c r="H113">
        <f t="shared" si="1"/>
        <v>1313.3333333333335</v>
      </c>
    </row>
    <row r="114" spans="3:8" x14ac:dyDescent="0.25">
      <c r="C114">
        <v>12001</v>
      </c>
      <c r="D114">
        <v>12100</v>
      </c>
      <c r="E114">
        <v>3.8888888888888903E-2</v>
      </c>
      <c r="F114">
        <v>5100</v>
      </c>
      <c r="G114">
        <v>1045</v>
      </c>
      <c r="H114">
        <f t="shared" si="1"/>
        <v>1317.2222222222224</v>
      </c>
    </row>
    <row r="115" spans="3:8" x14ac:dyDescent="0.25">
      <c r="C115">
        <v>12101</v>
      </c>
      <c r="D115">
        <v>12200</v>
      </c>
      <c r="E115">
        <v>3.8888888888888903E-2</v>
      </c>
      <c r="F115">
        <v>5100</v>
      </c>
      <c r="G115">
        <v>1045</v>
      </c>
      <c r="H115">
        <f t="shared" si="1"/>
        <v>1321.1111111111113</v>
      </c>
    </row>
    <row r="116" spans="3:8" x14ac:dyDescent="0.25">
      <c r="C116">
        <v>12201</v>
      </c>
      <c r="D116">
        <v>12300</v>
      </c>
      <c r="E116">
        <v>3.8888888888888903E-2</v>
      </c>
      <c r="F116">
        <v>5100</v>
      </c>
      <c r="G116">
        <v>1045</v>
      </c>
      <c r="H116">
        <f t="shared" si="1"/>
        <v>1325</v>
      </c>
    </row>
    <row r="117" spans="3:8" x14ac:dyDescent="0.25">
      <c r="C117">
        <v>12301</v>
      </c>
      <c r="D117">
        <v>12400</v>
      </c>
      <c r="E117">
        <v>3.8888888888888903E-2</v>
      </c>
      <c r="F117">
        <v>5100</v>
      </c>
      <c r="G117">
        <v>1045</v>
      </c>
      <c r="H117">
        <f t="shared" si="1"/>
        <v>1328.8888888888889</v>
      </c>
    </row>
    <row r="118" spans="3:8" x14ac:dyDescent="0.25">
      <c r="C118">
        <v>12401</v>
      </c>
      <c r="D118">
        <v>12500</v>
      </c>
      <c r="E118">
        <v>3.8888888888888903E-2</v>
      </c>
      <c r="F118">
        <v>5100</v>
      </c>
      <c r="G118">
        <v>1045</v>
      </c>
      <c r="H118">
        <f t="shared" si="1"/>
        <v>1332.7777777777778</v>
      </c>
    </row>
    <row r="119" spans="3:8" x14ac:dyDescent="0.25">
      <c r="C119">
        <v>12501</v>
      </c>
      <c r="D119">
        <v>12600</v>
      </c>
      <c r="E119">
        <v>3.8888888888888903E-2</v>
      </c>
      <c r="F119">
        <v>5100</v>
      </c>
      <c r="G119">
        <v>1045</v>
      </c>
      <c r="H119">
        <f t="shared" si="1"/>
        <v>1336.6666666666667</v>
      </c>
    </row>
    <row r="120" spans="3:8" x14ac:dyDescent="0.25">
      <c r="C120">
        <v>12601</v>
      </c>
      <c r="D120">
        <v>12700</v>
      </c>
      <c r="E120">
        <v>3.8888888888888903E-2</v>
      </c>
      <c r="F120">
        <v>5100</v>
      </c>
      <c r="G120">
        <v>1045</v>
      </c>
      <c r="H120">
        <f t="shared" si="1"/>
        <v>1340.5555555555557</v>
      </c>
    </row>
    <row r="121" spans="3:8" x14ac:dyDescent="0.25">
      <c r="C121">
        <v>12701</v>
      </c>
      <c r="D121">
        <v>12800</v>
      </c>
      <c r="E121">
        <v>3.8888888888888903E-2</v>
      </c>
      <c r="F121">
        <v>5100</v>
      </c>
      <c r="G121">
        <v>1045</v>
      </c>
      <c r="H121">
        <f t="shared" si="1"/>
        <v>1344.4444444444446</v>
      </c>
    </row>
    <row r="122" spans="3:8" x14ac:dyDescent="0.25">
      <c r="C122">
        <v>12801</v>
      </c>
      <c r="D122">
        <v>12900</v>
      </c>
      <c r="E122">
        <v>3.8888888888888903E-2</v>
      </c>
      <c r="F122">
        <v>5100</v>
      </c>
      <c r="G122">
        <v>1045</v>
      </c>
      <c r="H122">
        <f t="shared" si="1"/>
        <v>1348.3333333333335</v>
      </c>
    </row>
    <row r="123" spans="3:8" x14ac:dyDescent="0.25">
      <c r="C123">
        <v>12901</v>
      </c>
      <c r="D123">
        <v>13000</v>
      </c>
      <c r="E123">
        <v>3.8888888888888903E-2</v>
      </c>
      <c r="F123">
        <v>5100</v>
      </c>
      <c r="G123">
        <v>1045</v>
      </c>
      <c r="H123">
        <f t="shared" si="1"/>
        <v>1352.2222222222224</v>
      </c>
    </row>
    <row r="124" spans="3:8" x14ac:dyDescent="0.25">
      <c r="C124">
        <v>13001</v>
      </c>
      <c r="D124">
        <v>13100</v>
      </c>
      <c r="E124">
        <v>3.8888888888888903E-2</v>
      </c>
      <c r="F124">
        <v>5100</v>
      </c>
      <c r="G124">
        <v>1045</v>
      </c>
      <c r="H124">
        <f t="shared" si="1"/>
        <v>1356.1111111111113</v>
      </c>
    </row>
    <row r="125" spans="3:8" x14ac:dyDescent="0.25">
      <c r="C125">
        <v>13101</v>
      </c>
      <c r="D125">
        <v>13200</v>
      </c>
      <c r="E125">
        <v>3.8888888888888903E-2</v>
      </c>
      <c r="F125">
        <v>5100</v>
      </c>
      <c r="G125">
        <v>1045</v>
      </c>
      <c r="H125">
        <f t="shared" si="1"/>
        <v>1360</v>
      </c>
    </row>
    <row r="126" spans="3:8" x14ac:dyDescent="0.25">
      <c r="C126">
        <v>13201</v>
      </c>
      <c r="D126">
        <v>13300</v>
      </c>
      <c r="E126">
        <v>3.8888888888888903E-2</v>
      </c>
      <c r="F126">
        <v>5100</v>
      </c>
      <c r="G126">
        <v>1045</v>
      </c>
      <c r="H126">
        <f t="shared" si="1"/>
        <v>1363.8888888888891</v>
      </c>
    </row>
    <row r="127" spans="3:8" x14ac:dyDescent="0.25">
      <c r="C127">
        <v>13301</v>
      </c>
      <c r="D127">
        <v>13400</v>
      </c>
      <c r="E127">
        <v>3.8888888888888903E-2</v>
      </c>
      <c r="F127">
        <v>5100</v>
      </c>
      <c r="G127">
        <v>1045</v>
      </c>
      <c r="H127">
        <f t="shared" si="1"/>
        <v>1367.7777777777778</v>
      </c>
    </row>
    <row r="128" spans="3:8" x14ac:dyDescent="0.25">
      <c r="C128">
        <v>13401</v>
      </c>
      <c r="D128">
        <v>13500</v>
      </c>
      <c r="E128">
        <v>3.8888888888888903E-2</v>
      </c>
      <c r="F128">
        <v>5100</v>
      </c>
      <c r="G128">
        <v>1045</v>
      </c>
      <c r="H128">
        <f t="shared" si="1"/>
        <v>1371.6666666666667</v>
      </c>
    </row>
    <row r="129" spans="2:8" x14ac:dyDescent="0.25">
      <c r="C129">
        <v>13501</v>
      </c>
      <c r="D129">
        <v>13600</v>
      </c>
      <c r="E129">
        <v>3.8888888888888903E-2</v>
      </c>
      <c r="F129">
        <v>5100</v>
      </c>
      <c r="G129">
        <v>1045</v>
      </c>
      <c r="H129">
        <f t="shared" si="1"/>
        <v>1375.5555555555557</v>
      </c>
    </row>
    <row r="130" spans="2:8" x14ac:dyDescent="0.25">
      <c r="C130">
        <v>13601</v>
      </c>
      <c r="D130">
        <v>13700</v>
      </c>
      <c r="E130">
        <v>3.8888888888888903E-2</v>
      </c>
      <c r="F130">
        <v>5100</v>
      </c>
      <c r="G130">
        <v>1045</v>
      </c>
      <c r="H130">
        <f t="shared" si="1"/>
        <v>1379.4444444444446</v>
      </c>
    </row>
    <row r="131" spans="2:8" x14ac:dyDescent="0.25">
      <c r="C131">
        <v>13701</v>
      </c>
      <c r="D131">
        <v>13800</v>
      </c>
      <c r="E131">
        <v>3.8888888888888903E-2</v>
      </c>
      <c r="F131">
        <v>5100</v>
      </c>
      <c r="G131">
        <v>1045</v>
      </c>
      <c r="H131">
        <f t="shared" si="1"/>
        <v>1383.3333333333335</v>
      </c>
    </row>
    <row r="132" spans="2:8" x14ac:dyDescent="0.25">
      <c r="C132">
        <v>13801</v>
      </c>
      <c r="D132">
        <v>13900</v>
      </c>
      <c r="E132">
        <v>3.8888888888888903E-2</v>
      </c>
      <c r="F132">
        <v>5100</v>
      </c>
      <c r="G132">
        <v>1045</v>
      </c>
      <c r="H132">
        <f t="shared" ref="H132:H195" si="2">G132+(D132-F132)*E132</f>
        <v>1387.2222222222224</v>
      </c>
    </row>
    <row r="133" spans="2:8" x14ac:dyDescent="0.25">
      <c r="C133">
        <v>13901</v>
      </c>
      <c r="D133">
        <v>14000</v>
      </c>
      <c r="E133">
        <v>3.8888888888888903E-2</v>
      </c>
      <c r="F133">
        <v>5100</v>
      </c>
      <c r="G133">
        <v>1045</v>
      </c>
      <c r="H133">
        <f t="shared" si="2"/>
        <v>1391.1111111111113</v>
      </c>
    </row>
    <row r="134" spans="2:8" x14ac:dyDescent="0.25">
      <c r="C134">
        <v>14001</v>
      </c>
      <c r="D134">
        <v>14100</v>
      </c>
      <c r="E134">
        <v>3.8888888888888903E-2</v>
      </c>
      <c r="F134">
        <v>5100</v>
      </c>
      <c r="G134">
        <v>1045</v>
      </c>
      <c r="H134">
        <f t="shared" si="2"/>
        <v>1395</v>
      </c>
    </row>
    <row r="135" spans="2:8" x14ac:dyDescent="0.25">
      <c r="C135">
        <v>14101</v>
      </c>
      <c r="D135">
        <v>14200</v>
      </c>
      <c r="E135">
        <v>3.8888888888888903E-2</v>
      </c>
      <c r="F135">
        <v>5100</v>
      </c>
      <c r="G135">
        <v>1045</v>
      </c>
      <c r="H135">
        <f t="shared" si="2"/>
        <v>1398.8888888888891</v>
      </c>
    </row>
    <row r="136" spans="2:8" x14ac:dyDescent="0.25">
      <c r="C136">
        <v>14201</v>
      </c>
      <c r="D136">
        <v>14300</v>
      </c>
      <c r="E136">
        <v>3.8888888888888903E-2</v>
      </c>
      <c r="F136">
        <v>5100</v>
      </c>
      <c r="G136">
        <v>1045</v>
      </c>
      <c r="H136">
        <f t="shared" si="2"/>
        <v>1402.7777777777778</v>
      </c>
    </row>
    <row r="137" spans="2:8" x14ac:dyDescent="0.25">
      <c r="C137">
        <v>14301</v>
      </c>
      <c r="D137">
        <v>14400</v>
      </c>
      <c r="E137">
        <v>3.8888888888888903E-2</v>
      </c>
      <c r="F137">
        <v>5100</v>
      </c>
      <c r="G137">
        <v>1045</v>
      </c>
      <c r="H137">
        <f t="shared" si="2"/>
        <v>1406.6666666666667</v>
      </c>
    </row>
    <row r="138" spans="2:8" x14ac:dyDescent="0.25">
      <c r="C138">
        <v>14401</v>
      </c>
      <c r="D138">
        <v>14500</v>
      </c>
      <c r="E138">
        <v>3.8888888888888903E-2</v>
      </c>
      <c r="F138">
        <v>5100</v>
      </c>
      <c r="G138">
        <v>1045</v>
      </c>
      <c r="H138">
        <f t="shared" si="2"/>
        <v>1410.5555555555557</v>
      </c>
    </row>
    <row r="139" spans="2:8" x14ac:dyDescent="0.25">
      <c r="C139">
        <v>14501</v>
      </c>
      <c r="D139">
        <v>14600</v>
      </c>
      <c r="E139">
        <v>3.8888888888888903E-2</v>
      </c>
      <c r="F139">
        <v>5100</v>
      </c>
      <c r="G139">
        <v>1045</v>
      </c>
      <c r="H139">
        <f t="shared" si="2"/>
        <v>1414.4444444444446</v>
      </c>
    </row>
    <row r="140" spans="2:8" x14ac:dyDescent="0.25">
      <c r="C140">
        <v>14601</v>
      </c>
      <c r="D140">
        <v>14700</v>
      </c>
      <c r="E140">
        <v>3.8888888888888903E-2</v>
      </c>
      <c r="F140">
        <v>5100</v>
      </c>
      <c r="G140">
        <v>1045</v>
      </c>
      <c r="H140">
        <f t="shared" si="2"/>
        <v>1418.3333333333335</v>
      </c>
    </row>
    <row r="141" spans="2:8" x14ac:dyDescent="0.25">
      <c r="C141">
        <v>14701</v>
      </c>
      <c r="D141">
        <v>14800</v>
      </c>
      <c r="E141">
        <v>3.8888888888888903E-2</v>
      </c>
      <c r="F141">
        <v>5100</v>
      </c>
      <c r="G141">
        <v>1045</v>
      </c>
      <c r="H141">
        <f t="shared" si="2"/>
        <v>1422.2222222222224</v>
      </c>
    </row>
    <row r="142" spans="2:8" x14ac:dyDescent="0.25">
      <c r="C142">
        <v>14801</v>
      </c>
      <c r="D142">
        <v>14900</v>
      </c>
      <c r="E142">
        <v>3.8888888888888903E-2</v>
      </c>
      <c r="F142">
        <v>5100</v>
      </c>
      <c r="G142">
        <v>1045</v>
      </c>
      <c r="H142">
        <f t="shared" si="2"/>
        <v>1426.1111111111113</v>
      </c>
    </row>
    <row r="143" spans="2:8" x14ac:dyDescent="0.25">
      <c r="B143" t="s">
        <v>36</v>
      </c>
      <c r="C143">
        <v>14901</v>
      </c>
      <c r="D143">
        <v>15000</v>
      </c>
      <c r="E143">
        <v>3.8888888888888903E-2</v>
      </c>
      <c r="F143">
        <v>5100</v>
      </c>
      <c r="G143">
        <v>1045</v>
      </c>
      <c r="H143">
        <f t="shared" si="2"/>
        <v>1430.0000000000002</v>
      </c>
    </row>
    <row r="144" spans="2:8" x14ac:dyDescent="0.25">
      <c r="B144" t="s">
        <v>36</v>
      </c>
      <c r="C144">
        <v>15001</v>
      </c>
      <c r="D144">
        <v>15100</v>
      </c>
      <c r="E144">
        <v>2.5838926174496599E-2</v>
      </c>
      <c r="F144">
        <v>15100</v>
      </c>
      <c r="G144">
        <v>1455</v>
      </c>
      <c r="H144">
        <f t="shared" si="2"/>
        <v>1455</v>
      </c>
    </row>
    <row r="145" spans="3:8" x14ac:dyDescent="0.25">
      <c r="C145">
        <v>15101</v>
      </c>
      <c r="D145">
        <v>15200</v>
      </c>
      <c r="E145">
        <v>2.5838926174496599E-2</v>
      </c>
      <c r="F145">
        <v>15100</v>
      </c>
      <c r="G145">
        <v>1455</v>
      </c>
      <c r="H145">
        <f t="shared" si="2"/>
        <v>1457.5838926174497</v>
      </c>
    </row>
    <row r="146" spans="3:8" x14ac:dyDescent="0.25">
      <c r="C146">
        <v>15201</v>
      </c>
      <c r="D146">
        <v>15300</v>
      </c>
      <c r="E146">
        <v>2.5838926174496599E-2</v>
      </c>
      <c r="F146">
        <v>15100</v>
      </c>
      <c r="G146">
        <v>1455</v>
      </c>
      <c r="H146">
        <f t="shared" si="2"/>
        <v>1460.1677852348994</v>
      </c>
    </row>
    <row r="147" spans="3:8" x14ac:dyDescent="0.25">
      <c r="C147">
        <v>15301</v>
      </c>
      <c r="D147">
        <v>15400</v>
      </c>
      <c r="E147">
        <v>2.5838926174496599E-2</v>
      </c>
      <c r="F147">
        <v>15100</v>
      </c>
      <c r="G147">
        <v>1455</v>
      </c>
      <c r="H147">
        <f t="shared" si="2"/>
        <v>1462.7516778523491</v>
      </c>
    </row>
    <row r="148" spans="3:8" x14ac:dyDescent="0.25">
      <c r="C148">
        <v>15401</v>
      </c>
      <c r="D148">
        <v>15500</v>
      </c>
      <c r="E148">
        <v>2.5838926174496599E-2</v>
      </c>
      <c r="F148">
        <v>15100</v>
      </c>
      <c r="G148">
        <v>1455</v>
      </c>
      <c r="H148">
        <f t="shared" si="2"/>
        <v>1465.3355704697985</v>
      </c>
    </row>
    <row r="149" spans="3:8" x14ac:dyDescent="0.25">
      <c r="C149">
        <v>15501</v>
      </c>
      <c r="D149">
        <v>15600</v>
      </c>
      <c r="E149">
        <v>2.5838926174496599E-2</v>
      </c>
      <c r="F149">
        <v>15100</v>
      </c>
      <c r="G149">
        <v>1455</v>
      </c>
      <c r="H149">
        <f t="shared" si="2"/>
        <v>1467.9194630872482</v>
      </c>
    </row>
    <row r="150" spans="3:8" x14ac:dyDescent="0.25">
      <c r="C150">
        <v>15601</v>
      </c>
      <c r="D150">
        <v>15700</v>
      </c>
      <c r="E150">
        <v>2.5838926174496599E-2</v>
      </c>
      <c r="F150">
        <v>15100</v>
      </c>
      <c r="G150">
        <v>1455</v>
      </c>
      <c r="H150">
        <f t="shared" si="2"/>
        <v>1470.5033557046979</v>
      </c>
    </row>
    <row r="151" spans="3:8" x14ac:dyDescent="0.25">
      <c r="C151">
        <v>15701</v>
      </c>
      <c r="D151">
        <v>15800</v>
      </c>
      <c r="E151">
        <v>2.5838926174496599E-2</v>
      </c>
      <c r="F151">
        <v>15100</v>
      </c>
      <c r="G151">
        <v>1455</v>
      </c>
      <c r="H151">
        <f t="shared" si="2"/>
        <v>1473.0872483221476</v>
      </c>
    </row>
    <row r="152" spans="3:8" x14ac:dyDescent="0.25">
      <c r="C152">
        <v>15801</v>
      </c>
      <c r="D152">
        <v>15900</v>
      </c>
      <c r="E152">
        <v>2.5838926174496599E-2</v>
      </c>
      <c r="F152">
        <v>15100</v>
      </c>
      <c r="G152">
        <v>1455</v>
      </c>
      <c r="H152">
        <f t="shared" si="2"/>
        <v>1475.6711409395973</v>
      </c>
    </row>
    <row r="153" spans="3:8" x14ac:dyDescent="0.25">
      <c r="C153">
        <v>15901</v>
      </c>
      <c r="D153">
        <v>16000</v>
      </c>
      <c r="E153">
        <v>2.5838926174496599E-2</v>
      </c>
      <c r="F153">
        <v>15100</v>
      </c>
      <c r="G153">
        <v>1455</v>
      </c>
      <c r="H153">
        <f t="shared" si="2"/>
        <v>1478.255033557047</v>
      </c>
    </row>
    <row r="154" spans="3:8" x14ac:dyDescent="0.25">
      <c r="C154">
        <v>16001</v>
      </c>
      <c r="D154">
        <v>16100</v>
      </c>
      <c r="E154">
        <v>2.5838926174496599E-2</v>
      </c>
      <c r="F154">
        <v>15100</v>
      </c>
      <c r="G154">
        <v>1455</v>
      </c>
      <c r="H154">
        <f t="shared" si="2"/>
        <v>1480.8389261744967</v>
      </c>
    </row>
    <row r="155" spans="3:8" x14ac:dyDescent="0.25">
      <c r="C155">
        <v>16101</v>
      </c>
      <c r="D155">
        <v>16200</v>
      </c>
      <c r="E155">
        <v>2.5838926174496599E-2</v>
      </c>
      <c r="F155">
        <v>15100</v>
      </c>
      <c r="G155">
        <v>1455</v>
      </c>
      <c r="H155">
        <f t="shared" si="2"/>
        <v>1483.4228187919462</v>
      </c>
    </row>
    <row r="156" spans="3:8" x14ac:dyDescent="0.25">
      <c r="C156">
        <v>16201</v>
      </c>
      <c r="D156">
        <v>16300</v>
      </c>
      <c r="E156">
        <v>2.5838926174496599E-2</v>
      </c>
      <c r="F156">
        <v>15100</v>
      </c>
      <c r="G156">
        <v>1455</v>
      </c>
      <c r="H156">
        <f t="shared" si="2"/>
        <v>1486.0067114093958</v>
      </c>
    </row>
    <row r="157" spans="3:8" x14ac:dyDescent="0.25">
      <c r="C157">
        <v>16301</v>
      </c>
      <c r="D157">
        <v>16400</v>
      </c>
      <c r="E157">
        <v>2.5838926174496599E-2</v>
      </c>
      <c r="F157">
        <v>15100</v>
      </c>
      <c r="G157">
        <v>1455</v>
      </c>
      <c r="H157">
        <f t="shared" si="2"/>
        <v>1488.5906040268455</v>
      </c>
    </row>
    <row r="158" spans="3:8" x14ac:dyDescent="0.25">
      <c r="C158">
        <v>16401</v>
      </c>
      <c r="D158">
        <v>16500</v>
      </c>
      <c r="E158">
        <v>2.5838926174496599E-2</v>
      </c>
      <c r="F158">
        <v>15100</v>
      </c>
      <c r="G158">
        <v>1455</v>
      </c>
      <c r="H158">
        <f t="shared" si="2"/>
        <v>1491.1744966442952</v>
      </c>
    </row>
    <row r="159" spans="3:8" x14ac:dyDescent="0.25">
      <c r="C159">
        <v>16501</v>
      </c>
      <c r="D159">
        <v>16600</v>
      </c>
      <c r="E159">
        <v>2.5838926174496599E-2</v>
      </c>
      <c r="F159">
        <v>15100</v>
      </c>
      <c r="G159">
        <v>1455</v>
      </c>
      <c r="H159">
        <f t="shared" si="2"/>
        <v>1493.7583892617449</v>
      </c>
    </row>
    <row r="160" spans="3:8" x14ac:dyDescent="0.25">
      <c r="C160">
        <v>16601</v>
      </c>
      <c r="D160">
        <v>16700</v>
      </c>
      <c r="E160">
        <v>2.5838926174496599E-2</v>
      </c>
      <c r="F160">
        <v>15100</v>
      </c>
      <c r="G160">
        <v>1455</v>
      </c>
      <c r="H160">
        <f t="shared" si="2"/>
        <v>1496.3422818791946</v>
      </c>
    </row>
    <row r="161" spans="3:8" x14ac:dyDescent="0.25">
      <c r="C161">
        <v>16701</v>
      </c>
      <c r="D161">
        <v>16800</v>
      </c>
      <c r="E161">
        <v>2.5838926174496599E-2</v>
      </c>
      <c r="F161">
        <v>15100</v>
      </c>
      <c r="G161">
        <v>1455</v>
      </c>
      <c r="H161">
        <f t="shared" si="2"/>
        <v>1498.9261744966443</v>
      </c>
    </row>
    <row r="162" spans="3:8" x14ac:dyDescent="0.25">
      <c r="C162">
        <v>16801</v>
      </c>
      <c r="D162">
        <v>16900</v>
      </c>
      <c r="E162">
        <v>2.5838926174496599E-2</v>
      </c>
      <c r="F162">
        <v>15100</v>
      </c>
      <c r="G162">
        <v>1455</v>
      </c>
      <c r="H162">
        <f t="shared" si="2"/>
        <v>1501.5100671140938</v>
      </c>
    </row>
    <row r="163" spans="3:8" x14ac:dyDescent="0.25">
      <c r="C163">
        <v>16901</v>
      </c>
      <c r="D163">
        <v>17000</v>
      </c>
      <c r="E163">
        <v>2.5838926174496599E-2</v>
      </c>
      <c r="F163">
        <v>15100</v>
      </c>
      <c r="G163">
        <v>1455</v>
      </c>
      <c r="H163">
        <f t="shared" si="2"/>
        <v>1504.0939597315435</v>
      </c>
    </row>
    <row r="164" spans="3:8" x14ac:dyDescent="0.25">
      <c r="C164">
        <v>17001</v>
      </c>
      <c r="D164">
        <v>17100</v>
      </c>
      <c r="E164">
        <v>2.5838926174496599E-2</v>
      </c>
      <c r="F164">
        <v>15100</v>
      </c>
      <c r="G164">
        <v>1455</v>
      </c>
      <c r="H164">
        <f t="shared" si="2"/>
        <v>1506.6778523489932</v>
      </c>
    </row>
    <row r="165" spans="3:8" x14ac:dyDescent="0.25">
      <c r="C165">
        <v>17101</v>
      </c>
      <c r="D165">
        <v>17200</v>
      </c>
      <c r="E165">
        <v>2.5838926174496599E-2</v>
      </c>
      <c r="F165">
        <v>15100</v>
      </c>
      <c r="G165">
        <v>1455</v>
      </c>
      <c r="H165">
        <f t="shared" si="2"/>
        <v>1509.2617449664428</v>
      </c>
    </row>
    <row r="166" spans="3:8" x14ac:dyDescent="0.25">
      <c r="C166">
        <v>17201</v>
      </c>
      <c r="D166">
        <v>17300</v>
      </c>
      <c r="E166">
        <v>2.5838926174496599E-2</v>
      </c>
      <c r="F166">
        <v>15100</v>
      </c>
      <c r="G166">
        <v>1455</v>
      </c>
      <c r="H166">
        <f t="shared" si="2"/>
        <v>1511.8456375838925</v>
      </c>
    </row>
    <row r="167" spans="3:8" x14ac:dyDescent="0.25">
      <c r="C167">
        <v>17301</v>
      </c>
      <c r="D167">
        <v>17400</v>
      </c>
      <c r="E167">
        <v>2.5838926174496599E-2</v>
      </c>
      <c r="F167">
        <v>15100</v>
      </c>
      <c r="G167">
        <v>1455</v>
      </c>
      <c r="H167">
        <f t="shared" si="2"/>
        <v>1514.4295302013422</v>
      </c>
    </row>
    <row r="168" spans="3:8" x14ac:dyDescent="0.25">
      <c r="C168">
        <v>17401</v>
      </c>
      <c r="D168">
        <v>17500</v>
      </c>
      <c r="E168">
        <v>2.5838926174496599E-2</v>
      </c>
      <c r="F168">
        <v>15100</v>
      </c>
      <c r="G168">
        <v>1455</v>
      </c>
      <c r="H168">
        <f t="shared" si="2"/>
        <v>1517.0134228187919</v>
      </c>
    </row>
    <row r="169" spans="3:8" x14ac:dyDescent="0.25">
      <c r="C169">
        <v>17501</v>
      </c>
      <c r="D169">
        <v>17600</v>
      </c>
      <c r="E169">
        <v>2.5838926174496599E-2</v>
      </c>
      <c r="F169">
        <v>15100</v>
      </c>
      <c r="G169">
        <v>1455</v>
      </c>
      <c r="H169">
        <f t="shared" si="2"/>
        <v>1519.5973154362414</v>
      </c>
    </row>
    <row r="170" spans="3:8" x14ac:dyDescent="0.25">
      <c r="C170">
        <v>17601</v>
      </c>
      <c r="D170">
        <v>17700</v>
      </c>
      <c r="E170">
        <v>2.5838926174496599E-2</v>
      </c>
      <c r="F170">
        <v>15100</v>
      </c>
      <c r="G170">
        <v>1455</v>
      </c>
      <c r="H170">
        <f t="shared" si="2"/>
        <v>1522.1812080536911</v>
      </c>
    </row>
    <row r="171" spans="3:8" x14ac:dyDescent="0.25">
      <c r="C171">
        <v>17701</v>
      </c>
      <c r="D171">
        <v>17800</v>
      </c>
      <c r="E171">
        <v>2.5838926174496599E-2</v>
      </c>
      <c r="F171">
        <v>15100</v>
      </c>
      <c r="G171">
        <v>1455</v>
      </c>
      <c r="H171">
        <f t="shared" si="2"/>
        <v>1524.7651006711408</v>
      </c>
    </row>
    <row r="172" spans="3:8" x14ac:dyDescent="0.25">
      <c r="C172">
        <v>17801</v>
      </c>
      <c r="D172">
        <v>17900</v>
      </c>
      <c r="E172">
        <v>2.5838926174496599E-2</v>
      </c>
      <c r="F172">
        <v>15100</v>
      </c>
      <c r="G172">
        <v>1455</v>
      </c>
      <c r="H172">
        <f t="shared" si="2"/>
        <v>1527.3489932885905</v>
      </c>
    </row>
    <row r="173" spans="3:8" x14ac:dyDescent="0.25">
      <c r="C173">
        <v>17901</v>
      </c>
      <c r="D173">
        <v>18000</v>
      </c>
      <c r="E173">
        <v>2.5838926174496599E-2</v>
      </c>
      <c r="F173">
        <v>15100</v>
      </c>
      <c r="G173">
        <v>1455</v>
      </c>
      <c r="H173">
        <f t="shared" si="2"/>
        <v>1529.9328859060402</v>
      </c>
    </row>
    <row r="174" spans="3:8" x14ac:dyDescent="0.25">
      <c r="C174">
        <v>18001</v>
      </c>
      <c r="D174">
        <v>18100</v>
      </c>
      <c r="E174">
        <v>2.5838926174496599E-2</v>
      </c>
      <c r="F174">
        <v>15100</v>
      </c>
      <c r="G174">
        <v>1455</v>
      </c>
      <c r="H174">
        <f t="shared" si="2"/>
        <v>1532.5167785234898</v>
      </c>
    </row>
    <row r="175" spans="3:8" x14ac:dyDescent="0.25">
      <c r="C175">
        <v>18101</v>
      </c>
      <c r="D175">
        <v>18200</v>
      </c>
      <c r="E175">
        <v>2.5838926174496599E-2</v>
      </c>
      <c r="F175">
        <v>15100</v>
      </c>
      <c r="G175">
        <v>1455</v>
      </c>
      <c r="H175">
        <f t="shared" si="2"/>
        <v>1535.1006711409395</v>
      </c>
    </row>
    <row r="176" spans="3:8" x14ac:dyDescent="0.25">
      <c r="C176">
        <v>18201</v>
      </c>
      <c r="D176">
        <v>18300</v>
      </c>
      <c r="E176">
        <v>2.5838926174496599E-2</v>
      </c>
      <c r="F176">
        <v>15100</v>
      </c>
      <c r="G176">
        <v>1455</v>
      </c>
      <c r="H176">
        <f t="shared" si="2"/>
        <v>1537.6845637583892</v>
      </c>
    </row>
    <row r="177" spans="3:8" x14ac:dyDescent="0.25">
      <c r="C177">
        <v>18301</v>
      </c>
      <c r="D177">
        <v>18400</v>
      </c>
      <c r="E177">
        <v>2.5838926174496599E-2</v>
      </c>
      <c r="F177">
        <v>15100</v>
      </c>
      <c r="G177">
        <v>1455</v>
      </c>
      <c r="H177">
        <f t="shared" si="2"/>
        <v>1540.2684563758387</v>
      </c>
    </row>
    <row r="178" spans="3:8" x14ac:dyDescent="0.25">
      <c r="C178">
        <v>18401</v>
      </c>
      <c r="D178">
        <v>18500</v>
      </c>
      <c r="E178">
        <v>2.5838926174496599E-2</v>
      </c>
      <c r="F178">
        <v>15100</v>
      </c>
      <c r="G178">
        <v>1455</v>
      </c>
      <c r="H178">
        <f t="shared" si="2"/>
        <v>1542.8523489932884</v>
      </c>
    </row>
    <row r="179" spans="3:8" x14ac:dyDescent="0.25">
      <c r="C179">
        <v>18501</v>
      </c>
      <c r="D179">
        <v>18600</v>
      </c>
      <c r="E179">
        <v>2.5838926174496599E-2</v>
      </c>
      <c r="F179">
        <v>15100</v>
      </c>
      <c r="G179">
        <v>1455</v>
      </c>
      <c r="H179">
        <f t="shared" si="2"/>
        <v>1545.4362416107381</v>
      </c>
    </row>
    <row r="180" spans="3:8" x14ac:dyDescent="0.25">
      <c r="C180">
        <v>18601</v>
      </c>
      <c r="D180">
        <v>18700</v>
      </c>
      <c r="E180">
        <v>2.5838926174496599E-2</v>
      </c>
      <c r="F180">
        <v>15100</v>
      </c>
      <c r="G180">
        <v>1455</v>
      </c>
      <c r="H180">
        <f t="shared" si="2"/>
        <v>1548.0201342281878</v>
      </c>
    </row>
    <row r="181" spans="3:8" x14ac:dyDescent="0.25">
      <c r="C181">
        <v>18701</v>
      </c>
      <c r="D181">
        <v>18800</v>
      </c>
      <c r="E181">
        <v>2.5838926174496599E-2</v>
      </c>
      <c r="F181">
        <v>15100</v>
      </c>
      <c r="G181">
        <v>1455</v>
      </c>
      <c r="H181">
        <f t="shared" si="2"/>
        <v>1550.6040268456375</v>
      </c>
    </row>
    <row r="182" spans="3:8" x14ac:dyDescent="0.25">
      <c r="C182">
        <v>18801</v>
      </c>
      <c r="D182">
        <v>18900</v>
      </c>
      <c r="E182">
        <v>2.5838926174496599E-2</v>
      </c>
      <c r="F182">
        <v>15100</v>
      </c>
      <c r="G182">
        <v>1455</v>
      </c>
      <c r="H182">
        <f t="shared" si="2"/>
        <v>1553.1879194630872</v>
      </c>
    </row>
    <row r="183" spans="3:8" x14ac:dyDescent="0.25">
      <c r="C183">
        <v>18901</v>
      </c>
      <c r="D183">
        <v>19000</v>
      </c>
      <c r="E183">
        <v>2.5838926174496599E-2</v>
      </c>
      <c r="F183">
        <v>15100</v>
      </c>
      <c r="G183">
        <v>1455</v>
      </c>
      <c r="H183">
        <f t="shared" si="2"/>
        <v>1555.7718120805366</v>
      </c>
    </row>
    <row r="184" spans="3:8" x14ac:dyDescent="0.25">
      <c r="C184">
        <v>19001</v>
      </c>
      <c r="D184">
        <v>19100</v>
      </c>
      <c r="E184">
        <v>2.5838926174496599E-2</v>
      </c>
      <c r="F184">
        <v>15100</v>
      </c>
      <c r="G184">
        <v>1455</v>
      </c>
      <c r="H184">
        <f t="shared" si="2"/>
        <v>1558.3557046979863</v>
      </c>
    </row>
    <row r="185" spans="3:8" x14ac:dyDescent="0.25">
      <c r="C185">
        <v>19101</v>
      </c>
      <c r="D185">
        <v>19200</v>
      </c>
      <c r="E185">
        <v>2.5838926174496599E-2</v>
      </c>
      <c r="F185">
        <v>15100</v>
      </c>
      <c r="G185">
        <v>1455</v>
      </c>
      <c r="H185">
        <f t="shared" si="2"/>
        <v>1560.939597315436</v>
      </c>
    </row>
    <row r="186" spans="3:8" x14ac:dyDescent="0.25">
      <c r="C186">
        <v>19201</v>
      </c>
      <c r="D186">
        <v>19300</v>
      </c>
      <c r="E186">
        <v>2.5838926174496599E-2</v>
      </c>
      <c r="F186">
        <v>15100</v>
      </c>
      <c r="G186">
        <v>1455</v>
      </c>
      <c r="H186">
        <f t="shared" si="2"/>
        <v>1563.5234899328857</v>
      </c>
    </row>
    <row r="187" spans="3:8" x14ac:dyDescent="0.25">
      <c r="C187">
        <v>19301</v>
      </c>
      <c r="D187">
        <v>19400</v>
      </c>
      <c r="E187">
        <v>2.5838926174496599E-2</v>
      </c>
      <c r="F187">
        <v>15100</v>
      </c>
      <c r="G187">
        <v>1455</v>
      </c>
      <c r="H187">
        <f t="shared" si="2"/>
        <v>1566.1073825503354</v>
      </c>
    </row>
    <row r="188" spans="3:8" x14ac:dyDescent="0.25">
      <c r="C188">
        <v>19401</v>
      </c>
      <c r="D188">
        <v>19500</v>
      </c>
      <c r="E188">
        <v>2.5838926174496599E-2</v>
      </c>
      <c r="F188">
        <v>15100</v>
      </c>
      <c r="G188">
        <v>1455</v>
      </c>
      <c r="H188">
        <f t="shared" si="2"/>
        <v>1568.6912751677851</v>
      </c>
    </row>
    <row r="189" spans="3:8" x14ac:dyDescent="0.25">
      <c r="C189">
        <v>19501</v>
      </c>
      <c r="D189">
        <v>19600</v>
      </c>
      <c r="E189">
        <v>2.5838926174496599E-2</v>
      </c>
      <c r="F189">
        <v>15100</v>
      </c>
      <c r="G189">
        <v>1455</v>
      </c>
      <c r="H189">
        <f t="shared" si="2"/>
        <v>1571.2751677852348</v>
      </c>
    </row>
    <row r="190" spans="3:8" x14ac:dyDescent="0.25">
      <c r="C190">
        <v>19601</v>
      </c>
      <c r="D190">
        <v>19700</v>
      </c>
      <c r="E190">
        <v>2.5838926174496599E-2</v>
      </c>
      <c r="F190">
        <v>15100</v>
      </c>
      <c r="G190">
        <v>1455</v>
      </c>
      <c r="H190">
        <f t="shared" si="2"/>
        <v>1573.8590604026845</v>
      </c>
    </row>
    <row r="191" spans="3:8" x14ac:dyDescent="0.25">
      <c r="C191">
        <v>19701</v>
      </c>
      <c r="D191">
        <v>19800</v>
      </c>
      <c r="E191">
        <v>2.5838926174496599E-2</v>
      </c>
      <c r="F191">
        <v>15100</v>
      </c>
      <c r="G191">
        <v>1455</v>
      </c>
      <c r="H191">
        <f t="shared" si="2"/>
        <v>1576.4429530201339</v>
      </c>
    </row>
    <row r="192" spans="3:8" x14ac:dyDescent="0.25">
      <c r="C192">
        <v>19801</v>
      </c>
      <c r="D192">
        <v>19900</v>
      </c>
      <c r="E192">
        <v>2.5838926174496599E-2</v>
      </c>
      <c r="F192">
        <v>15100</v>
      </c>
      <c r="G192">
        <v>1455</v>
      </c>
      <c r="H192">
        <f t="shared" si="2"/>
        <v>1579.0268456375836</v>
      </c>
    </row>
    <row r="193" spans="3:8" x14ac:dyDescent="0.25">
      <c r="C193">
        <v>19901</v>
      </c>
      <c r="D193">
        <v>20000</v>
      </c>
      <c r="E193">
        <v>2.5838926174496599E-2</v>
      </c>
      <c r="F193">
        <v>15100</v>
      </c>
      <c r="G193">
        <v>1455</v>
      </c>
      <c r="H193">
        <f t="shared" si="2"/>
        <v>1581.6107382550333</v>
      </c>
    </row>
    <row r="194" spans="3:8" x14ac:dyDescent="0.25">
      <c r="C194">
        <v>20001</v>
      </c>
      <c r="D194">
        <v>20100</v>
      </c>
      <c r="E194">
        <v>2.5838926174496599E-2</v>
      </c>
      <c r="F194">
        <v>15100</v>
      </c>
      <c r="G194">
        <v>1455</v>
      </c>
      <c r="H194">
        <f t="shared" si="2"/>
        <v>1584.194630872483</v>
      </c>
    </row>
    <row r="195" spans="3:8" x14ac:dyDescent="0.25">
      <c r="C195">
        <v>20101</v>
      </c>
      <c r="D195">
        <v>20200</v>
      </c>
      <c r="E195">
        <v>2.5838926174496599E-2</v>
      </c>
      <c r="F195">
        <v>15100</v>
      </c>
      <c r="G195">
        <v>1455</v>
      </c>
      <c r="H195">
        <f t="shared" si="2"/>
        <v>1586.7785234899327</v>
      </c>
    </row>
    <row r="196" spans="3:8" x14ac:dyDescent="0.25">
      <c r="C196">
        <v>20201</v>
      </c>
      <c r="D196">
        <v>20300</v>
      </c>
      <c r="E196">
        <v>2.5838926174496599E-2</v>
      </c>
      <c r="F196">
        <v>15100</v>
      </c>
      <c r="G196">
        <v>1455</v>
      </c>
      <c r="H196">
        <f t="shared" ref="H196:H259" si="3">G196+(D196-F196)*E196</f>
        <v>1589.3624161073824</v>
      </c>
    </row>
    <row r="197" spans="3:8" x14ac:dyDescent="0.25">
      <c r="C197">
        <v>20301</v>
      </c>
      <c r="D197">
        <v>20400</v>
      </c>
      <c r="E197">
        <v>2.5838926174496599E-2</v>
      </c>
      <c r="F197">
        <v>15100</v>
      </c>
      <c r="G197">
        <v>1455</v>
      </c>
      <c r="H197">
        <f t="shared" si="3"/>
        <v>1591.9463087248319</v>
      </c>
    </row>
    <row r="198" spans="3:8" x14ac:dyDescent="0.25">
      <c r="C198">
        <v>20401</v>
      </c>
      <c r="D198">
        <v>20500</v>
      </c>
      <c r="E198">
        <v>2.5838926174496599E-2</v>
      </c>
      <c r="F198">
        <v>15100</v>
      </c>
      <c r="G198">
        <v>1455</v>
      </c>
      <c r="H198">
        <f t="shared" si="3"/>
        <v>1594.5302013422815</v>
      </c>
    </row>
    <row r="199" spans="3:8" x14ac:dyDescent="0.25">
      <c r="C199">
        <v>20501</v>
      </c>
      <c r="D199">
        <v>20600</v>
      </c>
      <c r="E199">
        <v>2.5838926174496599E-2</v>
      </c>
      <c r="F199">
        <v>15100</v>
      </c>
      <c r="G199">
        <v>1455</v>
      </c>
      <c r="H199">
        <f t="shared" si="3"/>
        <v>1597.1140939597312</v>
      </c>
    </row>
    <row r="200" spans="3:8" x14ac:dyDescent="0.25">
      <c r="C200">
        <v>20601</v>
      </c>
      <c r="D200">
        <v>20700</v>
      </c>
      <c r="E200">
        <v>2.5838926174496599E-2</v>
      </c>
      <c r="F200">
        <v>15100</v>
      </c>
      <c r="G200">
        <v>1455</v>
      </c>
      <c r="H200">
        <f t="shared" si="3"/>
        <v>1599.6979865771809</v>
      </c>
    </row>
    <row r="201" spans="3:8" x14ac:dyDescent="0.25">
      <c r="C201">
        <v>20701</v>
      </c>
      <c r="D201">
        <v>20800</v>
      </c>
      <c r="E201">
        <v>2.5838926174496599E-2</v>
      </c>
      <c r="F201">
        <v>15100</v>
      </c>
      <c r="G201">
        <v>1455</v>
      </c>
      <c r="H201">
        <f t="shared" si="3"/>
        <v>1602.2818791946306</v>
      </c>
    </row>
    <row r="202" spans="3:8" x14ac:dyDescent="0.25">
      <c r="C202">
        <v>20801</v>
      </c>
      <c r="D202">
        <v>20900</v>
      </c>
      <c r="E202">
        <v>2.5838926174496599E-2</v>
      </c>
      <c r="F202">
        <v>15100</v>
      </c>
      <c r="G202">
        <v>1455</v>
      </c>
      <c r="H202">
        <f t="shared" si="3"/>
        <v>1604.8657718120803</v>
      </c>
    </row>
    <row r="203" spans="3:8" x14ac:dyDescent="0.25">
      <c r="C203">
        <v>20901</v>
      </c>
      <c r="D203">
        <v>21000</v>
      </c>
      <c r="E203">
        <v>2.5838926174496599E-2</v>
      </c>
      <c r="F203">
        <v>15100</v>
      </c>
      <c r="G203">
        <v>1455</v>
      </c>
      <c r="H203">
        <f t="shared" si="3"/>
        <v>1607.44966442953</v>
      </c>
    </row>
    <row r="204" spans="3:8" x14ac:dyDescent="0.25">
      <c r="C204">
        <v>21001</v>
      </c>
      <c r="D204">
        <v>21100</v>
      </c>
      <c r="E204">
        <v>2.5838926174496599E-2</v>
      </c>
      <c r="F204">
        <v>15100</v>
      </c>
      <c r="G204">
        <v>1455</v>
      </c>
      <c r="H204">
        <f t="shared" si="3"/>
        <v>1610.0335570469797</v>
      </c>
    </row>
    <row r="205" spans="3:8" x14ac:dyDescent="0.25">
      <c r="C205">
        <v>21101</v>
      </c>
      <c r="D205">
        <v>21200</v>
      </c>
      <c r="E205">
        <v>2.5838926174496599E-2</v>
      </c>
      <c r="F205">
        <v>15100</v>
      </c>
      <c r="G205">
        <v>1455</v>
      </c>
      <c r="H205">
        <f t="shared" si="3"/>
        <v>1612.6174496644292</v>
      </c>
    </row>
    <row r="206" spans="3:8" x14ac:dyDescent="0.25">
      <c r="C206">
        <v>21201</v>
      </c>
      <c r="D206">
        <v>21300</v>
      </c>
      <c r="E206">
        <v>2.5838926174496599E-2</v>
      </c>
      <c r="F206">
        <v>15100</v>
      </c>
      <c r="G206">
        <v>1455</v>
      </c>
      <c r="H206">
        <f t="shared" si="3"/>
        <v>1615.2013422818789</v>
      </c>
    </row>
    <row r="207" spans="3:8" x14ac:dyDescent="0.25">
      <c r="C207">
        <v>21301</v>
      </c>
      <c r="D207">
        <v>21400</v>
      </c>
      <c r="E207">
        <v>2.5838926174496599E-2</v>
      </c>
      <c r="F207">
        <v>15100</v>
      </c>
      <c r="G207">
        <v>1455</v>
      </c>
      <c r="H207">
        <f t="shared" si="3"/>
        <v>1617.7852348993285</v>
      </c>
    </row>
    <row r="208" spans="3:8" x14ac:dyDescent="0.25">
      <c r="C208">
        <v>21401</v>
      </c>
      <c r="D208">
        <v>21500</v>
      </c>
      <c r="E208">
        <v>2.5838926174496599E-2</v>
      </c>
      <c r="F208">
        <v>15100</v>
      </c>
      <c r="G208">
        <v>1455</v>
      </c>
      <c r="H208">
        <f t="shared" si="3"/>
        <v>1620.3691275167782</v>
      </c>
    </row>
    <row r="209" spans="3:8" x14ac:dyDescent="0.25">
      <c r="C209">
        <v>21501</v>
      </c>
      <c r="D209">
        <v>21600</v>
      </c>
      <c r="E209">
        <v>2.5838926174496599E-2</v>
      </c>
      <c r="F209">
        <v>15100</v>
      </c>
      <c r="G209">
        <v>1455</v>
      </c>
      <c r="H209">
        <f t="shared" si="3"/>
        <v>1622.9530201342279</v>
      </c>
    </row>
    <row r="210" spans="3:8" x14ac:dyDescent="0.25">
      <c r="C210">
        <v>21601</v>
      </c>
      <c r="D210">
        <v>21700</v>
      </c>
      <c r="E210">
        <v>2.5838926174496599E-2</v>
      </c>
      <c r="F210">
        <v>15100</v>
      </c>
      <c r="G210">
        <v>1455</v>
      </c>
      <c r="H210">
        <f t="shared" si="3"/>
        <v>1625.5369127516776</v>
      </c>
    </row>
    <row r="211" spans="3:8" x14ac:dyDescent="0.25">
      <c r="C211">
        <v>21701</v>
      </c>
      <c r="D211">
        <v>21800</v>
      </c>
      <c r="E211">
        <v>2.5838926174496599E-2</v>
      </c>
      <c r="F211">
        <v>15100</v>
      </c>
      <c r="G211">
        <v>1455</v>
      </c>
      <c r="H211">
        <f t="shared" si="3"/>
        <v>1628.1208053691273</v>
      </c>
    </row>
    <row r="212" spans="3:8" x14ac:dyDescent="0.25">
      <c r="C212">
        <v>21801</v>
      </c>
      <c r="D212">
        <v>21900</v>
      </c>
      <c r="E212">
        <v>2.5838926174496599E-2</v>
      </c>
      <c r="F212">
        <v>15100</v>
      </c>
      <c r="G212">
        <v>1455</v>
      </c>
      <c r="H212">
        <f t="shared" si="3"/>
        <v>1630.7046979865768</v>
      </c>
    </row>
    <row r="213" spans="3:8" x14ac:dyDescent="0.25">
      <c r="C213">
        <v>21901</v>
      </c>
      <c r="D213">
        <v>22000</v>
      </c>
      <c r="E213">
        <v>2.5838926174496599E-2</v>
      </c>
      <c r="F213">
        <v>15100</v>
      </c>
      <c r="G213">
        <v>1455</v>
      </c>
      <c r="H213">
        <f t="shared" si="3"/>
        <v>1633.2885906040265</v>
      </c>
    </row>
    <row r="214" spans="3:8" x14ac:dyDescent="0.25">
      <c r="C214">
        <v>22001</v>
      </c>
      <c r="D214">
        <v>22100</v>
      </c>
      <c r="E214">
        <v>2.5838926174496599E-2</v>
      </c>
      <c r="F214">
        <v>15100</v>
      </c>
      <c r="G214">
        <v>1455</v>
      </c>
      <c r="H214">
        <f t="shared" si="3"/>
        <v>1635.8724832214762</v>
      </c>
    </row>
    <row r="215" spans="3:8" x14ac:dyDescent="0.25">
      <c r="C215">
        <v>22101</v>
      </c>
      <c r="D215">
        <v>22200</v>
      </c>
      <c r="E215">
        <v>2.5838926174496599E-2</v>
      </c>
      <c r="F215">
        <v>15100</v>
      </c>
      <c r="G215">
        <v>1455</v>
      </c>
      <c r="H215">
        <f t="shared" si="3"/>
        <v>1638.4563758389259</v>
      </c>
    </row>
    <row r="216" spans="3:8" x14ac:dyDescent="0.25">
      <c r="C216">
        <v>22201</v>
      </c>
      <c r="D216">
        <v>22300</v>
      </c>
      <c r="E216">
        <v>2.5838926174496599E-2</v>
      </c>
      <c r="F216">
        <v>15100</v>
      </c>
      <c r="G216">
        <v>1455</v>
      </c>
      <c r="H216">
        <f t="shared" si="3"/>
        <v>1641.0402684563755</v>
      </c>
    </row>
    <row r="217" spans="3:8" x14ac:dyDescent="0.25">
      <c r="C217">
        <v>22301</v>
      </c>
      <c r="D217">
        <v>22400</v>
      </c>
      <c r="E217">
        <v>2.5838926174496599E-2</v>
      </c>
      <c r="F217">
        <v>15100</v>
      </c>
      <c r="G217">
        <v>1455</v>
      </c>
      <c r="H217">
        <f t="shared" si="3"/>
        <v>1643.6241610738252</v>
      </c>
    </row>
    <row r="218" spans="3:8" x14ac:dyDescent="0.25">
      <c r="C218">
        <v>22401</v>
      </c>
      <c r="D218">
        <v>22500</v>
      </c>
      <c r="E218">
        <v>2.5838926174496599E-2</v>
      </c>
      <c r="F218">
        <v>15100</v>
      </c>
      <c r="G218">
        <v>1455</v>
      </c>
      <c r="H218">
        <f t="shared" si="3"/>
        <v>1646.2080536912749</v>
      </c>
    </row>
    <row r="219" spans="3:8" x14ac:dyDescent="0.25">
      <c r="C219">
        <v>22501</v>
      </c>
      <c r="D219">
        <v>22600</v>
      </c>
      <c r="E219">
        <v>2.5838926174496599E-2</v>
      </c>
      <c r="F219">
        <v>15100</v>
      </c>
      <c r="G219">
        <v>1455</v>
      </c>
      <c r="H219">
        <f t="shared" si="3"/>
        <v>1648.7919463087246</v>
      </c>
    </row>
    <row r="220" spans="3:8" x14ac:dyDescent="0.25">
      <c r="C220">
        <v>22601</v>
      </c>
      <c r="D220">
        <v>22700</v>
      </c>
      <c r="E220">
        <v>2.5838926174496599E-2</v>
      </c>
      <c r="F220">
        <v>15100</v>
      </c>
      <c r="G220">
        <v>1455</v>
      </c>
      <c r="H220">
        <f t="shared" si="3"/>
        <v>1651.3758389261741</v>
      </c>
    </row>
    <row r="221" spans="3:8" x14ac:dyDescent="0.25">
      <c r="C221">
        <v>22701</v>
      </c>
      <c r="D221">
        <v>22800</v>
      </c>
      <c r="E221">
        <v>2.5838926174496599E-2</v>
      </c>
      <c r="F221">
        <v>15100</v>
      </c>
      <c r="G221">
        <v>1455</v>
      </c>
      <c r="H221">
        <f t="shared" si="3"/>
        <v>1653.9597315436238</v>
      </c>
    </row>
    <row r="222" spans="3:8" x14ac:dyDescent="0.25">
      <c r="C222">
        <v>22801</v>
      </c>
      <c r="D222">
        <v>22900</v>
      </c>
      <c r="E222">
        <v>2.5838926174496599E-2</v>
      </c>
      <c r="F222">
        <v>15100</v>
      </c>
      <c r="G222">
        <v>1455</v>
      </c>
      <c r="H222">
        <f t="shared" si="3"/>
        <v>1656.5436241610735</v>
      </c>
    </row>
    <row r="223" spans="3:8" x14ac:dyDescent="0.25">
      <c r="C223">
        <v>22901</v>
      </c>
      <c r="D223">
        <v>23000</v>
      </c>
      <c r="E223">
        <v>2.5838926174496599E-2</v>
      </c>
      <c r="F223">
        <v>15100</v>
      </c>
      <c r="G223">
        <v>1455</v>
      </c>
      <c r="H223">
        <f t="shared" si="3"/>
        <v>1659.1275167785232</v>
      </c>
    </row>
    <row r="224" spans="3:8" x14ac:dyDescent="0.25">
      <c r="C224">
        <v>23001</v>
      </c>
      <c r="D224">
        <v>23100</v>
      </c>
      <c r="E224">
        <v>2.5838926174496599E-2</v>
      </c>
      <c r="F224">
        <v>15100</v>
      </c>
      <c r="G224">
        <v>1455</v>
      </c>
      <c r="H224">
        <f t="shared" si="3"/>
        <v>1661.7114093959729</v>
      </c>
    </row>
    <row r="225" spans="3:8" x14ac:dyDescent="0.25">
      <c r="C225">
        <v>23101</v>
      </c>
      <c r="D225">
        <v>23200</v>
      </c>
      <c r="E225">
        <v>2.5838926174496599E-2</v>
      </c>
      <c r="F225">
        <v>15100</v>
      </c>
      <c r="G225">
        <v>1455</v>
      </c>
      <c r="H225">
        <f t="shared" si="3"/>
        <v>1664.2953020134225</v>
      </c>
    </row>
    <row r="226" spans="3:8" x14ac:dyDescent="0.25">
      <c r="C226">
        <v>23201</v>
      </c>
      <c r="D226">
        <v>23300</v>
      </c>
      <c r="E226">
        <v>2.5838926174496599E-2</v>
      </c>
      <c r="F226">
        <v>15100</v>
      </c>
      <c r="G226">
        <v>1455</v>
      </c>
      <c r="H226">
        <f t="shared" si="3"/>
        <v>1666.879194630872</v>
      </c>
    </row>
    <row r="227" spans="3:8" x14ac:dyDescent="0.25">
      <c r="C227">
        <v>23301</v>
      </c>
      <c r="D227">
        <v>23400</v>
      </c>
      <c r="E227">
        <v>2.5838926174496599E-2</v>
      </c>
      <c r="F227">
        <v>15100</v>
      </c>
      <c r="G227">
        <v>1455</v>
      </c>
      <c r="H227">
        <f t="shared" si="3"/>
        <v>1669.4630872483217</v>
      </c>
    </row>
    <row r="228" spans="3:8" x14ac:dyDescent="0.25">
      <c r="C228">
        <v>23401</v>
      </c>
      <c r="D228">
        <v>23500</v>
      </c>
      <c r="E228">
        <v>2.5838926174496599E-2</v>
      </c>
      <c r="F228">
        <v>15100</v>
      </c>
      <c r="G228">
        <v>1455</v>
      </c>
      <c r="H228">
        <f t="shared" si="3"/>
        <v>1672.0469798657714</v>
      </c>
    </row>
    <row r="229" spans="3:8" x14ac:dyDescent="0.25">
      <c r="C229">
        <v>23501</v>
      </c>
      <c r="D229">
        <v>23600</v>
      </c>
      <c r="E229">
        <v>2.5838926174496599E-2</v>
      </c>
      <c r="F229">
        <v>15100</v>
      </c>
      <c r="G229">
        <v>1455</v>
      </c>
      <c r="H229">
        <f t="shared" si="3"/>
        <v>1674.6308724832211</v>
      </c>
    </row>
    <row r="230" spans="3:8" x14ac:dyDescent="0.25">
      <c r="C230">
        <v>23601</v>
      </c>
      <c r="D230">
        <v>23700</v>
      </c>
      <c r="E230">
        <v>2.5838926174496599E-2</v>
      </c>
      <c r="F230">
        <v>15100</v>
      </c>
      <c r="G230">
        <v>1455</v>
      </c>
      <c r="H230">
        <f t="shared" si="3"/>
        <v>1677.2147651006708</v>
      </c>
    </row>
    <row r="231" spans="3:8" x14ac:dyDescent="0.25">
      <c r="C231">
        <v>23701</v>
      </c>
      <c r="D231">
        <v>23800</v>
      </c>
      <c r="E231">
        <v>2.5838926174496599E-2</v>
      </c>
      <c r="F231">
        <v>15100</v>
      </c>
      <c r="G231">
        <v>1455</v>
      </c>
      <c r="H231">
        <f t="shared" si="3"/>
        <v>1679.7986577181205</v>
      </c>
    </row>
    <row r="232" spans="3:8" x14ac:dyDescent="0.25">
      <c r="C232">
        <v>23801</v>
      </c>
      <c r="D232">
        <v>23900</v>
      </c>
      <c r="E232">
        <v>2.5838926174496599E-2</v>
      </c>
      <c r="F232">
        <v>15100</v>
      </c>
      <c r="G232">
        <v>1455</v>
      </c>
      <c r="H232">
        <f t="shared" si="3"/>
        <v>1682.3825503355702</v>
      </c>
    </row>
    <row r="233" spans="3:8" x14ac:dyDescent="0.25">
      <c r="C233">
        <v>23901</v>
      </c>
      <c r="D233">
        <v>24000</v>
      </c>
      <c r="E233">
        <v>2.5838926174496599E-2</v>
      </c>
      <c r="F233">
        <v>15100</v>
      </c>
      <c r="G233">
        <v>1455</v>
      </c>
      <c r="H233">
        <f t="shared" si="3"/>
        <v>1684.9664429530199</v>
      </c>
    </row>
    <row r="234" spans="3:8" x14ac:dyDescent="0.25">
      <c r="C234">
        <v>24001</v>
      </c>
      <c r="D234">
        <v>24100</v>
      </c>
      <c r="E234">
        <v>2.5838926174496599E-2</v>
      </c>
      <c r="F234">
        <v>15100</v>
      </c>
      <c r="G234">
        <v>1455</v>
      </c>
      <c r="H234">
        <f t="shared" si="3"/>
        <v>1687.5503355704693</v>
      </c>
    </row>
    <row r="235" spans="3:8" x14ac:dyDescent="0.25">
      <c r="C235">
        <v>24101</v>
      </c>
      <c r="D235">
        <v>24200</v>
      </c>
      <c r="E235">
        <v>2.5838926174496599E-2</v>
      </c>
      <c r="F235">
        <v>15100</v>
      </c>
      <c r="G235">
        <v>1455</v>
      </c>
      <c r="H235">
        <f t="shared" si="3"/>
        <v>1690.134228187919</v>
      </c>
    </row>
    <row r="236" spans="3:8" x14ac:dyDescent="0.25">
      <c r="C236">
        <v>24201</v>
      </c>
      <c r="D236">
        <v>24300</v>
      </c>
      <c r="E236">
        <v>2.5838926174496599E-2</v>
      </c>
      <c r="F236">
        <v>15100</v>
      </c>
      <c r="G236">
        <v>1455</v>
      </c>
      <c r="H236">
        <f t="shared" si="3"/>
        <v>1692.7181208053687</v>
      </c>
    </row>
    <row r="237" spans="3:8" x14ac:dyDescent="0.25">
      <c r="C237">
        <v>24301</v>
      </c>
      <c r="D237">
        <v>24400</v>
      </c>
      <c r="E237">
        <v>2.5838926174496599E-2</v>
      </c>
      <c r="F237">
        <v>15100</v>
      </c>
      <c r="G237">
        <v>1455</v>
      </c>
      <c r="H237">
        <f t="shared" si="3"/>
        <v>1695.3020134228184</v>
      </c>
    </row>
    <row r="238" spans="3:8" x14ac:dyDescent="0.25">
      <c r="C238">
        <v>24401</v>
      </c>
      <c r="D238">
        <v>24500</v>
      </c>
      <c r="E238">
        <v>2.5838926174496599E-2</v>
      </c>
      <c r="F238">
        <v>15100</v>
      </c>
      <c r="G238">
        <v>1455</v>
      </c>
      <c r="H238">
        <f t="shared" si="3"/>
        <v>1697.8859060402681</v>
      </c>
    </row>
    <row r="239" spans="3:8" x14ac:dyDescent="0.25">
      <c r="C239">
        <v>24501</v>
      </c>
      <c r="D239">
        <v>24600</v>
      </c>
      <c r="E239">
        <v>2.5838926174496599E-2</v>
      </c>
      <c r="F239">
        <v>15100</v>
      </c>
      <c r="G239">
        <v>1455</v>
      </c>
      <c r="H239">
        <f t="shared" si="3"/>
        <v>1700.4697986577178</v>
      </c>
    </row>
    <row r="240" spans="3:8" x14ac:dyDescent="0.25">
      <c r="C240">
        <v>24601</v>
      </c>
      <c r="D240">
        <v>24700</v>
      </c>
      <c r="E240">
        <v>2.5838926174496599E-2</v>
      </c>
      <c r="F240">
        <v>15100</v>
      </c>
      <c r="G240">
        <v>1455</v>
      </c>
      <c r="H240">
        <f t="shared" si="3"/>
        <v>1703.0536912751672</v>
      </c>
    </row>
    <row r="241" spans="3:8" x14ac:dyDescent="0.25">
      <c r="C241">
        <v>24701</v>
      </c>
      <c r="D241">
        <v>24800</v>
      </c>
      <c r="E241">
        <v>2.5838926174496599E-2</v>
      </c>
      <c r="F241">
        <v>15100</v>
      </c>
      <c r="G241">
        <v>1455</v>
      </c>
      <c r="H241">
        <f t="shared" si="3"/>
        <v>1705.6375838926169</v>
      </c>
    </row>
    <row r="242" spans="3:8" x14ac:dyDescent="0.25">
      <c r="C242">
        <v>24801</v>
      </c>
      <c r="D242">
        <v>24900</v>
      </c>
      <c r="E242">
        <v>2.5838926174496599E-2</v>
      </c>
      <c r="F242">
        <v>15100</v>
      </c>
      <c r="G242">
        <v>1455</v>
      </c>
      <c r="H242">
        <f t="shared" si="3"/>
        <v>1708.2214765100666</v>
      </c>
    </row>
    <row r="243" spans="3:8" x14ac:dyDescent="0.25">
      <c r="C243">
        <v>24901</v>
      </c>
      <c r="D243">
        <v>25000</v>
      </c>
      <c r="E243">
        <v>2.5838926174496599E-2</v>
      </c>
      <c r="F243">
        <v>15100</v>
      </c>
      <c r="G243">
        <v>1455</v>
      </c>
      <c r="H243">
        <f t="shared" si="3"/>
        <v>1710.8053691275163</v>
      </c>
    </row>
    <row r="244" spans="3:8" x14ac:dyDescent="0.25">
      <c r="C244">
        <v>25001</v>
      </c>
      <c r="D244">
        <v>25100</v>
      </c>
      <c r="E244">
        <v>2.5838926174496599E-2</v>
      </c>
      <c r="F244">
        <v>15100</v>
      </c>
      <c r="G244">
        <v>1455</v>
      </c>
      <c r="H244">
        <f t="shared" si="3"/>
        <v>1713.389261744966</v>
      </c>
    </row>
    <row r="245" spans="3:8" x14ac:dyDescent="0.25">
      <c r="C245">
        <v>25101</v>
      </c>
      <c r="D245">
        <v>25200</v>
      </c>
      <c r="E245">
        <v>2.5838926174496599E-2</v>
      </c>
      <c r="F245">
        <v>15100</v>
      </c>
      <c r="G245">
        <v>1455</v>
      </c>
      <c r="H245">
        <f t="shared" si="3"/>
        <v>1715.9731543624157</v>
      </c>
    </row>
    <row r="246" spans="3:8" x14ac:dyDescent="0.25">
      <c r="C246">
        <v>25201</v>
      </c>
      <c r="D246">
        <v>25300</v>
      </c>
      <c r="E246">
        <v>2.5838926174496599E-2</v>
      </c>
      <c r="F246">
        <v>15100</v>
      </c>
      <c r="G246">
        <v>1455</v>
      </c>
      <c r="H246">
        <f t="shared" si="3"/>
        <v>1718.5570469798654</v>
      </c>
    </row>
    <row r="247" spans="3:8" x14ac:dyDescent="0.25">
      <c r="C247">
        <v>25301</v>
      </c>
      <c r="D247">
        <v>25400</v>
      </c>
      <c r="E247">
        <v>2.5838926174496599E-2</v>
      </c>
      <c r="F247">
        <v>15100</v>
      </c>
      <c r="G247">
        <v>1455</v>
      </c>
      <c r="H247">
        <f t="shared" si="3"/>
        <v>1721.1409395973151</v>
      </c>
    </row>
    <row r="248" spans="3:8" x14ac:dyDescent="0.25">
      <c r="C248">
        <v>25401</v>
      </c>
      <c r="D248">
        <v>25500</v>
      </c>
      <c r="E248">
        <v>2.5838926174496599E-2</v>
      </c>
      <c r="F248">
        <v>15100</v>
      </c>
      <c r="G248">
        <v>1455</v>
      </c>
      <c r="H248">
        <f t="shared" si="3"/>
        <v>1723.7248322147648</v>
      </c>
    </row>
    <row r="249" spans="3:8" x14ac:dyDescent="0.25">
      <c r="C249">
        <v>25501</v>
      </c>
      <c r="D249">
        <v>25600</v>
      </c>
      <c r="E249">
        <v>2.5838926174496599E-2</v>
      </c>
      <c r="F249">
        <v>15100</v>
      </c>
      <c r="G249">
        <v>1455</v>
      </c>
      <c r="H249">
        <f t="shared" si="3"/>
        <v>1726.3087248322142</v>
      </c>
    </row>
    <row r="250" spans="3:8" x14ac:dyDescent="0.25">
      <c r="C250">
        <v>25601</v>
      </c>
      <c r="D250">
        <v>25700</v>
      </c>
      <c r="E250">
        <v>2.5838926174496599E-2</v>
      </c>
      <c r="F250">
        <v>15100</v>
      </c>
      <c r="G250">
        <v>1455</v>
      </c>
      <c r="H250">
        <f t="shared" si="3"/>
        <v>1728.8926174496639</v>
      </c>
    </row>
    <row r="251" spans="3:8" x14ac:dyDescent="0.25">
      <c r="C251">
        <v>25701</v>
      </c>
      <c r="D251">
        <v>25800</v>
      </c>
      <c r="E251">
        <v>2.5838926174496599E-2</v>
      </c>
      <c r="F251">
        <v>15100</v>
      </c>
      <c r="G251">
        <v>1455</v>
      </c>
      <c r="H251">
        <f t="shared" si="3"/>
        <v>1731.4765100671136</v>
      </c>
    </row>
    <row r="252" spans="3:8" x14ac:dyDescent="0.25">
      <c r="C252">
        <v>25801</v>
      </c>
      <c r="D252">
        <v>25900</v>
      </c>
      <c r="E252">
        <v>2.5838926174496599E-2</v>
      </c>
      <c r="F252">
        <v>15100</v>
      </c>
      <c r="G252">
        <v>1455</v>
      </c>
      <c r="H252">
        <f t="shared" si="3"/>
        <v>1734.0604026845633</v>
      </c>
    </row>
    <row r="253" spans="3:8" x14ac:dyDescent="0.25">
      <c r="C253">
        <v>25901</v>
      </c>
      <c r="D253">
        <v>26000</v>
      </c>
      <c r="E253">
        <v>2.5838926174496599E-2</v>
      </c>
      <c r="F253">
        <v>15100</v>
      </c>
      <c r="G253">
        <v>1455</v>
      </c>
      <c r="H253">
        <f t="shared" si="3"/>
        <v>1736.644295302013</v>
      </c>
    </row>
    <row r="254" spans="3:8" x14ac:dyDescent="0.25">
      <c r="C254">
        <v>26001</v>
      </c>
      <c r="D254">
        <v>26100</v>
      </c>
      <c r="E254">
        <v>2.5838926174496599E-2</v>
      </c>
      <c r="F254">
        <v>15100</v>
      </c>
      <c r="G254">
        <v>1455</v>
      </c>
      <c r="H254">
        <f t="shared" si="3"/>
        <v>1739.2281879194625</v>
      </c>
    </row>
    <row r="255" spans="3:8" x14ac:dyDescent="0.25">
      <c r="C255">
        <v>26101</v>
      </c>
      <c r="D255">
        <v>26200</v>
      </c>
      <c r="E255">
        <v>2.5838926174496599E-2</v>
      </c>
      <c r="F255">
        <v>15100</v>
      </c>
      <c r="G255">
        <v>1455</v>
      </c>
      <c r="H255">
        <f t="shared" si="3"/>
        <v>1741.8120805369122</v>
      </c>
    </row>
    <row r="256" spans="3:8" x14ac:dyDescent="0.25">
      <c r="C256">
        <v>26201</v>
      </c>
      <c r="D256">
        <v>26300</v>
      </c>
      <c r="E256">
        <v>2.5838926174496599E-2</v>
      </c>
      <c r="F256">
        <v>15100</v>
      </c>
      <c r="G256">
        <v>1455</v>
      </c>
      <c r="H256">
        <f t="shared" si="3"/>
        <v>1744.3959731543619</v>
      </c>
    </row>
    <row r="257" spans="3:8" x14ac:dyDescent="0.25">
      <c r="C257">
        <v>26301</v>
      </c>
      <c r="D257">
        <v>26400</v>
      </c>
      <c r="E257">
        <v>2.5838926174496599E-2</v>
      </c>
      <c r="F257">
        <v>15100</v>
      </c>
      <c r="G257">
        <v>1455</v>
      </c>
      <c r="H257">
        <f t="shared" si="3"/>
        <v>1746.9798657718115</v>
      </c>
    </row>
    <row r="258" spans="3:8" x14ac:dyDescent="0.25">
      <c r="C258">
        <v>26401</v>
      </c>
      <c r="D258">
        <v>26500</v>
      </c>
      <c r="E258">
        <v>2.5838926174496599E-2</v>
      </c>
      <c r="F258">
        <v>15100</v>
      </c>
      <c r="G258">
        <v>1455</v>
      </c>
      <c r="H258">
        <f t="shared" si="3"/>
        <v>1749.5637583892612</v>
      </c>
    </row>
    <row r="259" spans="3:8" x14ac:dyDescent="0.25">
      <c r="C259">
        <v>26501</v>
      </c>
      <c r="D259">
        <v>26600</v>
      </c>
      <c r="E259">
        <v>2.5838926174496599E-2</v>
      </c>
      <c r="F259">
        <v>15100</v>
      </c>
      <c r="G259">
        <v>1455</v>
      </c>
      <c r="H259">
        <f t="shared" si="3"/>
        <v>1752.1476510067109</v>
      </c>
    </row>
    <row r="260" spans="3:8" x14ac:dyDescent="0.25">
      <c r="C260">
        <v>26601</v>
      </c>
      <c r="D260">
        <v>26700</v>
      </c>
      <c r="E260">
        <v>2.5838926174496599E-2</v>
      </c>
      <c r="F260">
        <v>15100</v>
      </c>
      <c r="G260">
        <v>1455</v>
      </c>
      <c r="H260">
        <f t="shared" ref="H260:H323" si="4">G260+(D260-F260)*E260</f>
        <v>1754.7315436241606</v>
      </c>
    </row>
    <row r="261" spans="3:8" x14ac:dyDescent="0.25">
      <c r="C261">
        <v>26701</v>
      </c>
      <c r="D261">
        <v>26800</v>
      </c>
      <c r="E261">
        <v>2.5838926174496599E-2</v>
      </c>
      <c r="F261">
        <v>15100</v>
      </c>
      <c r="G261">
        <v>1455</v>
      </c>
      <c r="H261">
        <f t="shared" si="4"/>
        <v>1757.3154362416103</v>
      </c>
    </row>
    <row r="262" spans="3:8" x14ac:dyDescent="0.25">
      <c r="C262">
        <v>26801</v>
      </c>
      <c r="D262">
        <v>26900</v>
      </c>
      <c r="E262">
        <v>2.5838926174496599E-2</v>
      </c>
      <c r="F262">
        <v>15100</v>
      </c>
      <c r="G262">
        <v>1455</v>
      </c>
      <c r="H262">
        <f t="shared" si="4"/>
        <v>1759.89932885906</v>
      </c>
    </row>
    <row r="263" spans="3:8" x14ac:dyDescent="0.25">
      <c r="C263">
        <v>26901</v>
      </c>
      <c r="D263">
        <v>27000</v>
      </c>
      <c r="E263">
        <v>2.5838926174496599E-2</v>
      </c>
      <c r="F263">
        <v>15100</v>
      </c>
      <c r="G263">
        <v>1455</v>
      </c>
      <c r="H263">
        <f t="shared" si="4"/>
        <v>1762.4832214765095</v>
      </c>
    </row>
    <row r="264" spans="3:8" x14ac:dyDescent="0.25">
      <c r="C264">
        <v>27001</v>
      </c>
      <c r="D264">
        <v>27100</v>
      </c>
      <c r="E264">
        <v>2.5838926174496599E-2</v>
      </c>
      <c r="F264">
        <v>15100</v>
      </c>
      <c r="G264">
        <v>1455</v>
      </c>
      <c r="H264">
        <f t="shared" si="4"/>
        <v>1765.0671140939592</v>
      </c>
    </row>
    <row r="265" spans="3:8" x14ac:dyDescent="0.25">
      <c r="C265">
        <v>27101</v>
      </c>
      <c r="D265">
        <v>27200</v>
      </c>
      <c r="E265">
        <v>2.5838926174496599E-2</v>
      </c>
      <c r="F265">
        <v>15100</v>
      </c>
      <c r="G265">
        <v>1455</v>
      </c>
      <c r="H265">
        <f t="shared" si="4"/>
        <v>1767.6510067114089</v>
      </c>
    </row>
    <row r="266" spans="3:8" x14ac:dyDescent="0.25">
      <c r="C266">
        <v>27201</v>
      </c>
      <c r="D266">
        <v>27300</v>
      </c>
      <c r="E266">
        <v>2.5838926174496599E-2</v>
      </c>
      <c r="F266">
        <v>15100</v>
      </c>
      <c r="G266">
        <v>1455</v>
      </c>
      <c r="H266">
        <f t="shared" si="4"/>
        <v>1770.2348993288585</v>
      </c>
    </row>
    <row r="267" spans="3:8" x14ac:dyDescent="0.25">
      <c r="C267">
        <v>27301</v>
      </c>
      <c r="D267">
        <v>27400</v>
      </c>
      <c r="E267">
        <v>2.5838926174496599E-2</v>
      </c>
      <c r="F267">
        <v>15100</v>
      </c>
      <c r="G267">
        <v>1455</v>
      </c>
      <c r="H267">
        <f t="shared" si="4"/>
        <v>1772.8187919463082</v>
      </c>
    </row>
    <row r="268" spans="3:8" x14ac:dyDescent="0.25">
      <c r="C268">
        <v>27401</v>
      </c>
      <c r="D268">
        <v>27500</v>
      </c>
      <c r="E268">
        <v>2.5838926174496599E-2</v>
      </c>
      <c r="F268">
        <v>15100</v>
      </c>
      <c r="G268">
        <v>1455</v>
      </c>
      <c r="H268">
        <f t="shared" si="4"/>
        <v>1775.4026845637577</v>
      </c>
    </row>
    <row r="269" spans="3:8" x14ac:dyDescent="0.25">
      <c r="C269">
        <v>27501</v>
      </c>
      <c r="D269">
        <v>27600</v>
      </c>
      <c r="E269">
        <v>2.5838926174496599E-2</v>
      </c>
      <c r="F269">
        <v>15100</v>
      </c>
      <c r="G269">
        <v>1455</v>
      </c>
      <c r="H269">
        <f t="shared" si="4"/>
        <v>1777.9865771812074</v>
      </c>
    </row>
    <row r="270" spans="3:8" x14ac:dyDescent="0.25">
      <c r="C270">
        <v>27601</v>
      </c>
      <c r="D270">
        <v>27700</v>
      </c>
      <c r="E270">
        <v>2.5838926174496599E-2</v>
      </c>
      <c r="F270">
        <v>15100</v>
      </c>
      <c r="G270">
        <v>1455</v>
      </c>
      <c r="H270">
        <f t="shared" si="4"/>
        <v>1780.5704697986571</v>
      </c>
    </row>
    <row r="271" spans="3:8" x14ac:dyDescent="0.25">
      <c r="C271">
        <v>27701</v>
      </c>
      <c r="D271">
        <v>27800</v>
      </c>
      <c r="E271">
        <v>2.5838926174496599E-2</v>
      </c>
      <c r="F271">
        <v>15100</v>
      </c>
      <c r="G271">
        <v>1455</v>
      </c>
      <c r="H271">
        <f t="shared" si="4"/>
        <v>1783.1543624161068</v>
      </c>
    </row>
    <row r="272" spans="3:8" x14ac:dyDescent="0.25">
      <c r="C272">
        <v>27801</v>
      </c>
      <c r="D272">
        <v>27900</v>
      </c>
      <c r="E272">
        <v>2.5838926174496599E-2</v>
      </c>
      <c r="F272">
        <v>15100</v>
      </c>
      <c r="G272">
        <v>1455</v>
      </c>
      <c r="H272">
        <f t="shared" si="4"/>
        <v>1785.7382550335565</v>
      </c>
    </row>
    <row r="273" spans="3:8" x14ac:dyDescent="0.25">
      <c r="C273">
        <v>27901</v>
      </c>
      <c r="D273">
        <v>28000</v>
      </c>
      <c r="E273">
        <v>2.5838926174496599E-2</v>
      </c>
      <c r="F273">
        <v>15100</v>
      </c>
      <c r="G273">
        <v>1455</v>
      </c>
      <c r="H273">
        <f t="shared" si="4"/>
        <v>1788.3221476510062</v>
      </c>
    </row>
    <row r="274" spans="3:8" x14ac:dyDescent="0.25">
      <c r="C274">
        <v>28001</v>
      </c>
      <c r="D274">
        <v>28100</v>
      </c>
      <c r="E274">
        <v>2.5838926174496599E-2</v>
      </c>
      <c r="F274">
        <v>15100</v>
      </c>
      <c r="G274">
        <v>1455</v>
      </c>
      <c r="H274">
        <f t="shared" si="4"/>
        <v>1790.9060402684559</v>
      </c>
    </row>
    <row r="275" spans="3:8" x14ac:dyDescent="0.25">
      <c r="C275">
        <v>28101</v>
      </c>
      <c r="D275">
        <v>28200</v>
      </c>
      <c r="E275">
        <v>2.5838926174496599E-2</v>
      </c>
      <c r="F275">
        <v>15100</v>
      </c>
      <c r="G275">
        <v>1455</v>
      </c>
      <c r="H275">
        <f t="shared" si="4"/>
        <v>1793.4899328859055</v>
      </c>
    </row>
    <row r="276" spans="3:8" x14ac:dyDescent="0.25">
      <c r="C276">
        <v>28201</v>
      </c>
      <c r="D276">
        <v>28300</v>
      </c>
      <c r="E276">
        <v>2.5838926174496599E-2</v>
      </c>
      <c r="F276">
        <v>15100</v>
      </c>
      <c r="G276">
        <v>1455</v>
      </c>
      <c r="H276">
        <f t="shared" si="4"/>
        <v>1796.0738255033552</v>
      </c>
    </row>
    <row r="277" spans="3:8" x14ac:dyDescent="0.25">
      <c r="C277">
        <v>28301</v>
      </c>
      <c r="D277">
        <v>28400</v>
      </c>
      <c r="E277">
        <v>2.5838926174496599E-2</v>
      </c>
      <c r="F277">
        <v>15100</v>
      </c>
      <c r="G277">
        <v>1455</v>
      </c>
      <c r="H277">
        <f t="shared" si="4"/>
        <v>1798.6577181208047</v>
      </c>
    </row>
    <row r="278" spans="3:8" x14ac:dyDescent="0.25">
      <c r="C278">
        <v>28401</v>
      </c>
      <c r="D278">
        <v>28500</v>
      </c>
      <c r="E278">
        <v>2.5838926174496599E-2</v>
      </c>
      <c r="F278">
        <v>15100</v>
      </c>
      <c r="G278">
        <v>1455</v>
      </c>
      <c r="H278">
        <f t="shared" si="4"/>
        <v>1801.2416107382544</v>
      </c>
    </row>
    <row r="279" spans="3:8" x14ac:dyDescent="0.25">
      <c r="C279">
        <v>28501</v>
      </c>
      <c r="D279">
        <v>28600</v>
      </c>
      <c r="E279">
        <v>2.5838926174496599E-2</v>
      </c>
      <c r="F279">
        <v>15100</v>
      </c>
      <c r="G279">
        <v>1455</v>
      </c>
      <c r="H279">
        <f t="shared" si="4"/>
        <v>1803.8255033557041</v>
      </c>
    </row>
    <row r="280" spans="3:8" x14ac:dyDescent="0.25">
      <c r="C280">
        <v>28601</v>
      </c>
      <c r="D280">
        <v>28700</v>
      </c>
      <c r="E280">
        <v>2.5838926174496599E-2</v>
      </c>
      <c r="F280">
        <v>15100</v>
      </c>
      <c r="G280">
        <v>1455</v>
      </c>
      <c r="H280">
        <f t="shared" si="4"/>
        <v>1806.4093959731538</v>
      </c>
    </row>
    <row r="281" spans="3:8" x14ac:dyDescent="0.25">
      <c r="C281">
        <v>28701</v>
      </c>
      <c r="D281">
        <v>28800</v>
      </c>
      <c r="E281">
        <v>2.5838926174496599E-2</v>
      </c>
      <c r="F281">
        <v>15100</v>
      </c>
      <c r="G281">
        <v>1455</v>
      </c>
      <c r="H281">
        <f t="shared" si="4"/>
        <v>1808.9932885906035</v>
      </c>
    </row>
    <row r="282" spans="3:8" x14ac:dyDescent="0.25">
      <c r="C282">
        <v>28801</v>
      </c>
      <c r="D282">
        <v>28900</v>
      </c>
      <c r="E282">
        <v>2.5838926174496599E-2</v>
      </c>
      <c r="F282">
        <v>15100</v>
      </c>
      <c r="G282">
        <v>1455</v>
      </c>
      <c r="H282">
        <f t="shared" si="4"/>
        <v>1811.5771812080529</v>
      </c>
    </row>
    <row r="283" spans="3:8" x14ac:dyDescent="0.25">
      <c r="C283">
        <v>28901</v>
      </c>
      <c r="D283">
        <v>29000</v>
      </c>
      <c r="E283">
        <v>2.5838926174496599E-2</v>
      </c>
      <c r="F283">
        <v>15100</v>
      </c>
      <c r="G283">
        <v>1455</v>
      </c>
      <c r="H283">
        <f t="shared" si="4"/>
        <v>1814.1610738255026</v>
      </c>
    </row>
    <row r="284" spans="3:8" x14ac:dyDescent="0.25">
      <c r="C284">
        <v>29001</v>
      </c>
      <c r="D284">
        <v>29100</v>
      </c>
      <c r="E284">
        <v>2.5838926174496599E-2</v>
      </c>
      <c r="F284">
        <v>15100</v>
      </c>
      <c r="G284">
        <v>1455</v>
      </c>
      <c r="H284">
        <f t="shared" si="4"/>
        <v>1816.7449664429523</v>
      </c>
    </row>
    <row r="285" spans="3:8" x14ac:dyDescent="0.25">
      <c r="C285">
        <v>29101</v>
      </c>
      <c r="D285">
        <v>29200</v>
      </c>
      <c r="E285">
        <v>2.5838926174496599E-2</v>
      </c>
      <c r="F285">
        <v>15100</v>
      </c>
      <c r="G285">
        <v>1455</v>
      </c>
      <c r="H285">
        <f t="shared" si="4"/>
        <v>1819.328859060402</v>
      </c>
    </row>
    <row r="286" spans="3:8" x14ac:dyDescent="0.25">
      <c r="C286">
        <v>29201</v>
      </c>
      <c r="D286">
        <v>29300</v>
      </c>
      <c r="E286">
        <v>2.5838926174496599E-2</v>
      </c>
      <c r="F286">
        <v>15100</v>
      </c>
      <c r="G286">
        <v>1455</v>
      </c>
      <c r="H286">
        <f t="shared" si="4"/>
        <v>1821.9127516778517</v>
      </c>
    </row>
    <row r="287" spans="3:8" x14ac:dyDescent="0.25">
      <c r="C287">
        <v>29301</v>
      </c>
      <c r="D287">
        <v>29400</v>
      </c>
      <c r="E287">
        <v>2.5838926174496599E-2</v>
      </c>
      <c r="F287">
        <v>15100</v>
      </c>
      <c r="G287">
        <v>1455</v>
      </c>
      <c r="H287">
        <f t="shared" si="4"/>
        <v>1824.4966442953014</v>
      </c>
    </row>
    <row r="288" spans="3:8" x14ac:dyDescent="0.25">
      <c r="C288">
        <v>29401</v>
      </c>
      <c r="D288">
        <v>29500</v>
      </c>
      <c r="E288">
        <v>2.5838926174496599E-2</v>
      </c>
      <c r="F288">
        <v>15100</v>
      </c>
      <c r="G288">
        <v>1455</v>
      </c>
      <c r="H288">
        <f t="shared" si="4"/>
        <v>1827.0805369127511</v>
      </c>
    </row>
    <row r="289" spans="2:8" x14ac:dyDescent="0.25">
      <c r="C289">
        <v>29501</v>
      </c>
      <c r="D289">
        <v>29600</v>
      </c>
      <c r="E289">
        <v>2.5838926174496599E-2</v>
      </c>
      <c r="F289">
        <v>15100</v>
      </c>
      <c r="G289">
        <v>1455</v>
      </c>
      <c r="H289">
        <f t="shared" si="4"/>
        <v>1829.6644295302008</v>
      </c>
    </row>
    <row r="290" spans="2:8" x14ac:dyDescent="0.25">
      <c r="C290">
        <v>29601</v>
      </c>
      <c r="D290">
        <v>29700</v>
      </c>
      <c r="E290">
        <v>2.5838926174496599E-2</v>
      </c>
      <c r="F290">
        <v>15100</v>
      </c>
      <c r="G290">
        <v>1455</v>
      </c>
      <c r="H290">
        <f t="shared" si="4"/>
        <v>1832.2483221476505</v>
      </c>
    </row>
    <row r="291" spans="2:8" x14ac:dyDescent="0.25">
      <c r="C291">
        <v>29701</v>
      </c>
      <c r="D291">
        <v>29800</v>
      </c>
      <c r="E291">
        <v>2.5838926174496599E-2</v>
      </c>
      <c r="F291">
        <v>15100</v>
      </c>
      <c r="G291">
        <v>1455</v>
      </c>
      <c r="H291">
        <f t="shared" si="4"/>
        <v>1834.8322147650999</v>
      </c>
    </row>
    <row r="292" spans="2:8" x14ac:dyDescent="0.25">
      <c r="C292">
        <v>29801</v>
      </c>
      <c r="D292">
        <v>29900</v>
      </c>
      <c r="E292">
        <v>2.5838926174496599E-2</v>
      </c>
      <c r="F292">
        <v>15100</v>
      </c>
      <c r="G292">
        <v>1455</v>
      </c>
      <c r="H292">
        <f t="shared" si="4"/>
        <v>1837.4161073825496</v>
      </c>
    </row>
    <row r="293" spans="2:8" x14ac:dyDescent="0.25">
      <c r="B293" t="s">
        <v>36</v>
      </c>
      <c r="C293">
        <v>29901</v>
      </c>
      <c r="D293">
        <v>30000</v>
      </c>
      <c r="E293">
        <v>2.5838926174496599E-2</v>
      </c>
      <c r="F293">
        <v>15100</v>
      </c>
      <c r="G293">
        <v>1455</v>
      </c>
      <c r="H293">
        <f t="shared" si="4"/>
        <v>1839.9999999999993</v>
      </c>
    </row>
    <row r="294" spans="2:8" x14ac:dyDescent="0.25">
      <c r="B294" t="s">
        <v>36</v>
      </c>
      <c r="C294">
        <v>30001</v>
      </c>
      <c r="D294">
        <v>30100</v>
      </c>
      <c r="E294">
        <v>3.2550335570469803E-2</v>
      </c>
      <c r="F294">
        <v>30100</v>
      </c>
      <c r="G294">
        <v>1865</v>
      </c>
      <c r="H294">
        <f t="shared" si="4"/>
        <v>1865</v>
      </c>
    </row>
    <row r="295" spans="2:8" x14ac:dyDescent="0.25">
      <c r="C295">
        <v>30101</v>
      </c>
      <c r="D295">
        <v>30200</v>
      </c>
      <c r="E295">
        <v>3.2550335570469803E-2</v>
      </c>
      <c r="F295">
        <v>30100</v>
      </c>
      <c r="G295">
        <v>1865</v>
      </c>
      <c r="H295">
        <f t="shared" si="4"/>
        <v>1868.255033557047</v>
      </c>
    </row>
    <row r="296" spans="2:8" x14ac:dyDescent="0.25">
      <c r="C296">
        <v>30201</v>
      </c>
      <c r="D296">
        <v>30300</v>
      </c>
      <c r="E296">
        <v>3.2550335570469803E-2</v>
      </c>
      <c r="F296">
        <v>30100</v>
      </c>
      <c r="G296">
        <v>1865</v>
      </c>
      <c r="H296">
        <f t="shared" si="4"/>
        <v>1871.510067114094</v>
      </c>
    </row>
    <row r="297" spans="2:8" x14ac:dyDescent="0.25">
      <c r="C297">
        <v>30301</v>
      </c>
      <c r="D297">
        <v>30400</v>
      </c>
      <c r="E297">
        <v>3.2550335570469803E-2</v>
      </c>
      <c r="F297">
        <v>30100</v>
      </c>
      <c r="G297">
        <v>1865</v>
      </c>
      <c r="H297">
        <f t="shared" si="4"/>
        <v>1874.765100671141</v>
      </c>
    </row>
    <row r="298" spans="2:8" x14ac:dyDescent="0.25">
      <c r="C298">
        <v>30401</v>
      </c>
      <c r="D298">
        <v>30500</v>
      </c>
      <c r="E298">
        <v>3.2550335570469803E-2</v>
      </c>
      <c r="F298">
        <v>30100</v>
      </c>
      <c r="G298">
        <v>1865</v>
      </c>
      <c r="H298">
        <f t="shared" si="4"/>
        <v>1878.020134228188</v>
      </c>
    </row>
    <row r="299" spans="2:8" x14ac:dyDescent="0.25">
      <c r="C299">
        <v>30501</v>
      </c>
      <c r="D299">
        <v>30600</v>
      </c>
      <c r="E299">
        <v>3.2550335570469803E-2</v>
      </c>
      <c r="F299">
        <v>30100</v>
      </c>
      <c r="G299">
        <v>1865</v>
      </c>
      <c r="H299">
        <f t="shared" si="4"/>
        <v>1881.275167785235</v>
      </c>
    </row>
    <row r="300" spans="2:8" x14ac:dyDescent="0.25">
      <c r="C300">
        <v>30601</v>
      </c>
      <c r="D300">
        <v>30700</v>
      </c>
      <c r="E300">
        <v>3.2550335570469803E-2</v>
      </c>
      <c r="F300">
        <v>30100</v>
      </c>
      <c r="G300">
        <v>1865</v>
      </c>
      <c r="H300">
        <f t="shared" si="4"/>
        <v>1884.5302013422818</v>
      </c>
    </row>
    <row r="301" spans="2:8" x14ac:dyDescent="0.25">
      <c r="C301">
        <v>30701</v>
      </c>
      <c r="D301">
        <v>30800</v>
      </c>
      <c r="E301">
        <v>3.2550335570469803E-2</v>
      </c>
      <c r="F301">
        <v>30100</v>
      </c>
      <c r="G301">
        <v>1865</v>
      </c>
      <c r="H301">
        <f t="shared" si="4"/>
        <v>1887.7852348993288</v>
      </c>
    </row>
    <row r="302" spans="2:8" x14ac:dyDescent="0.25">
      <c r="C302">
        <v>30801</v>
      </c>
      <c r="D302">
        <v>30900</v>
      </c>
      <c r="E302">
        <v>3.2550335570469803E-2</v>
      </c>
      <c r="F302">
        <v>30100</v>
      </c>
      <c r="G302">
        <v>1865</v>
      </c>
      <c r="H302">
        <f t="shared" si="4"/>
        <v>1891.0402684563758</v>
      </c>
    </row>
    <row r="303" spans="2:8" x14ac:dyDescent="0.25">
      <c r="C303">
        <v>30901</v>
      </c>
      <c r="D303">
        <v>31000</v>
      </c>
      <c r="E303">
        <v>3.2550335570469803E-2</v>
      </c>
      <c r="F303">
        <v>30100</v>
      </c>
      <c r="G303">
        <v>1865</v>
      </c>
      <c r="H303">
        <f t="shared" si="4"/>
        <v>1894.2953020134228</v>
      </c>
    </row>
    <row r="304" spans="2:8" x14ac:dyDescent="0.25">
      <c r="C304">
        <v>31001</v>
      </c>
      <c r="D304">
        <v>31100</v>
      </c>
      <c r="E304">
        <v>3.2550335570469803E-2</v>
      </c>
      <c r="F304">
        <v>30100</v>
      </c>
      <c r="G304">
        <v>1865</v>
      </c>
      <c r="H304">
        <f t="shared" si="4"/>
        <v>1897.5503355704698</v>
      </c>
    </row>
    <row r="305" spans="3:8" x14ac:dyDescent="0.25">
      <c r="C305">
        <v>31101</v>
      </c>
      <c r="D305">
        <v>31200</v>
      </c>
      <c r="E305">
        <v>3.2550335570469803E-2</v>
      </c>
      <c r="F305">
        <v>30100</v>
      </c>
      <c r="G305">
        <v>1865</v>
      </c>
      <c r="H305">
        <f t="shared" si="4"/>
        <v>1900.8053691275168</v>
      </c>
    </row>
    <row r="306" spans="3:8" x14ac:dyDescent="0.25">
      <c r="C306">
        <v>31201</v>
      </c>
      <c r="D306">
        <v>31300</v>
      </c>
      <c r="E306">
        <v>3.2550335570469803E-2</v>
      </c>
      <c r="F306">
        <v>30100</v>
      </c>
      <c r="G306">
        <v>1865</v>
      </c>
      <c r="H306">
        <f t="shared" si="4"/>
        <v>1904.0604026845638</v>
      </c>
    </row>
    <row r="307" spans="3:8" x14ac:dyDescent="0.25">
      <c r="C307">
        <v>31301</v>
      </c>
      <c r="D307">
        <v>31400</v>
      </c>
      <c r="E307">
        <v>3.2550335570469803E-2</v>
      </c>
      <c r="F307">
        <v>30100</v>
      </c>
      <c r="G307">
        <v>1865</v>
      </c>
      <c r="H307">
        <f t="shared" si="4"/>
        <v>1907.3154362416108</v>
      </c>
    </row>
    <row r="308" spans="3:8" x14ac:dyDescent="0.25">
      <c r="C308">
        <v>31401</v>
      </c>
      <c r="D308">
        <v>31500</v>
      </c>
      <c r="E308">
        <v>3.2550335570469803E-2</v>
      </c>
      <c r="F308">
        <v>30100</v>
      </c>
      <c r="G308">
        <v>1865</v>
      </c>
      <c r="H308">
        <f t="shared" si="4"/>
        <v>1910.5704697986578</v>
      </c>
    </row>
    <row r="309" spans="3:8" x14ac:dyDescent="0.25">
      <c r="C309">
        <v>31501</v>
      </c>
      <c r="D309">
        <v>31600</v>
      </c>
      <c r="E309">
        <v>3.2550335570469803E-2</v>
      </c>
      <c r="F309">
        <v>30100</v>
      </c>
      <c r="G309">
        <v>1865</v>
      </c>
      <c r="H309">
        <f t="shared" si="4"/>
        <v>1913.8255033557048</v>
      </c>
    </row>
    <row r="310" spans="3:8" x14ac:dyDescent="0.25">
      <c r="C310">
        <v>31601</v>
      </c>
      <c r="D310">
        <v>31700</v>
      </c>
      <c r="E310">
        <v>3.2550335570469803E-2</v>
      </c>
      <c r="F310">
        <v>30100</v>
      </c>
      <c r="G310">
        <v>1865</v>
      </c>
      <c r="H310">
        <f t="shared" si="4"/>
        <v>1917.0805369127518</v>
      </c>
    </row>
    <row r="311" spans="3:8" x14ac:dyDescent="0.25">
      <c r="C311">
        <v>31701</v>
      </c>
      <c r="D311">
        <v>31800</v>
      </c>
      <c r="E311">
        <v>3.2550335570469803E-2</v>
      </c>
      <c r="F311">
        <v>30100</v>
      </c>
      <c r="G311">
        <v>1865</v>
      </c>
      <c r="H311">
        <f t="shared" si="4"/>
        <v>1920.3355704697988</v>
      </c>
    </row>
    <row r="312" spans="3:8" x14ac:dyDescent="0.25">
      <c r="C312">
        <v>31801</v>
      </c>
      <c r="D312">
        <v>31900</v>
      </c>
      <c r="E312">
        <v>3.2550335570469803E-2</v>
      </c>
      <c r="F312">
        <v>30100</v>
      </c>
      <c r="G312">
        <v>1865</v>
      </c>
      <c r="H312">
        <f t="shared" si="4"/>
        <v>1923.5906040268455</v>
      </c>
    </row>
    <row r="313" spans="3:8" x14ac:dyDescent="0.25">
      <c r="C313">
        <v>31901</v>
      </c>
      <c r="D313">
        <v>32000</v>
      </c>
      <c r="E313">
        <v>3.2550335570469803E-2</v>
      </c>
      <c r="F313">
        <v>30100</v>
      </c>
      <c r="G313">
        <v>1865</v>
      </c>
      <c r="H313">
        <f t="shared" si="4"/>
        <v>1926.8456375838925</v>
      </c>
    </row>
    <row r="314" spans="3:8" x14ac:dyDescent="0.25">
      <c r="C314">
        <v>32001</v>
      </c>
      <c r="D314">
        <v>32100</v>
      </c>
      <c r="E314">
        <v>3.2550335570469803E-2</v>
      </c>
      <c r="F314">
        <v>30100</v>
      </c>
      <c r="G314">
        <v>1865</v>
      </c>
      <c r="H314">
        <f t="shared" si="4"/>
        <v>1930.1006711409395</v>
      </c>
    </row>
    <row r="315" spans="3:8" x14ac:dyDescent="0.25">
      <c r="C315">
        <v>32101</v>
      </c>
      <c r="D315">
        <v>32200</v>
      </c>
      <c r="E315">
        <v>3.2550335570469803E-2</v>
      </c>
      <c r="F315">
        <v>30100</v>
      </c>
      <c r="G315">
        <v>1865</v>
      </c>
      <c r="H315">
        <f t="shared" si="4"/>
        <v>1933.3557046979865</v>
      </c>
    </row>
    <row r="316" spans="3:8" x14ac:dyDescent="0.25">
      <c r="C316">
        <v>32201</v>
      </c>
      <c r="D316">
        <v>32300</v>
      </c>
      <c r="E316">
        <v>3.2550335570469803E-2</v>
      </c>
      <c r="F316">
        <v>30100</v>
      </c>
      <c r="G316">
        <v>1865</v>
      </c>
      <c r="H316">
        <f t="shared" si="4"/>
        <v>1936.6107382550335</v>
      </c>
    </row>
    <row r="317" spans="3:8" x14ac:dyDescent="0.25">
      <c r="C317">
        <v>32301</v>
      </c>
      <c r="D317">
        <v>32400</v>
      </c>
      <c r="E317">
        <v>3.2550335570469803E-2</v>
      </c>
      <c r="F317">
        <v>30100</v>
      </c>
      <c r="G317">
        <v>1865</v>
      </c>
      <c r="H317">
        <f t="shared" si="4"/>
        <v>1939.8657718120805</v>
      </c>
    </row>
    <row r="318" spans="3:8" x14ac:dyDescent="0.25">
      <c r="C318">
        <v>32401</v>
      </c>
      <c r="D318">
        <v>32500</v>
      </c>
      <c r="E318">
        <v>3.2550335570469803E-2</v>
      </c>
      <c r="F318">
        <v>30100</v>
      </c>
      <c r="G318">
        <v>1865</v>
      </c>
      <c r="H318">
        <f t="shared" si="4"/>
        <v>1943.1208053691275</v>
      </c>
    </row>
    <row r="319" spans="3:8" x14ac:dyDescent="0.25">
      <c r="C319">
        <v>32501</v>
      </c>
      <c r="D319">
        <v>32600</v>
      </c>
      <c r="E319">
        <v>3.2550335570469803E-2</v>
      </c>
      <c r="F319">
        <v>30100</v>
      </c>
      <c r="G319">
        <v>1865</v>
      </c>
      <c r="H319">
        <f t="shared" si="4"/>
        <v>1946.3758389261745</v>
      </c>
    </row>
    <row r="320" spans="3:8" x14ac:dyDescent="0.25">
      <c r="C320">
        <v>32601</v>
      </c>
      <c r="D320">
        <v>32700</v>
      </c>
      <c r="E320">
        <v>3.2550335570469803E-2</v>
      </c>
      <c r="F320">
        <v>30100</v>
      </c>
      <c r="G320">
        <v>1865</v>
      </c>
      <c r="H320">
        <f t="shared" si="4"/>
        <v>1949.6308724832215</v>
      </c>
    </row>
    <row r="321" spans="3:8" x14ac:dyDescent="0.25">
      <c r="C321">
        <v>32701</v>
      </c>
      <c r="D321">
        <v>32800</v>
      </c>
      <c r="E321">
        <v>3.2550335570469803E-2</v>
      </c>
      <c r="F321">
        <v>30100</v>
      </c>
      <c r="G321">
        <v>1865</v>
      </c>
      <c r="H321">
        <f t="shared" si="4"/>
        <v>1952.8859060402685</v>
      </c>
    </row>
    <row r="322" spans="3:8" x14ac:dyDescent="0.25">
      <c r="C322">
        <v>32801</v>
      </c>
      <c r="D322">
        <v>32900</v>
      </c>
      <c r="E322">
        <v>3.2550335570469803E-2</v>
      </c>
      <c r="F322">
        <v>30100</v>
      </c>
      <c r="G322">
        <v>1865</v>
      </c>
      <c r="H322">
        <f t="shared" si="4"/>
        <v>1956.1409395973155</v>
      </c>
    </row>
    <row r="323" spans="3:8" x14ac:dyDescent="0.25">
      <c r="C323">
        <v>32901</v>
      </c>
      <c r="D323">
        <v>33000</v>
      </c>
      <c r="E323">
        <v>3.2550335570469803E-2</v>
      </c>
      <c r="F323">
        <v>30100</v>
      </c>
      <c r="G323">
        <v>1865</v>
      </c>
      <c r="H323">
        <f t="shared" si="4"/>
        <v>1959.3959731543623</v>
      </c>
    </row>
    <row r="324" spans="3:8" x14ac:dyDescent="0.25">
      <c r="C324">
        <v>33001</v>
      </c>
      <c r="D324">
        <v>33100</v>
      </c>
      <c r="E324">
        <v>3.2550335570469803E-2</v>
      </c>
      <c r="F324">
        <v>30100</v>
      </c>
      <c r="G324">
        <v>1865</v>
      </c>
      <c r="H324">
        <f t="shared" ref="H324:H387" si="5">G324+(D324-F324)*E324</f>
        <v>1962.6510067114093</v>
      </c>
    </row>
    <row r="325" spans="3:8" x14ac:dyDescent="0.25">
      <c r="C325">
        <v>33101</v>
      </c>
      <c r="D325">
        <v>33200</v>
      </c>
      <c r="E325">
        <v>3.2550335570469803E-2</v>
      </c>
      <c r="F325">
        <v>30100</v>
      </c>
      <c r="G325">
        <v>1865</v>
      </c>
      <c r="H325">
        <f t="shared" si="5"/>
        <v>1965.9060402684563</v>
      </c>
    </row>
    <row r="326" spans="3:8" x14ac:dyDescent="0.25">
      <c r="C326">
        <v>33201</v>
      </c>
      <c r="D326">
        <v>33300</v>
      </c>
      <c r="E326">
        <v>3.2550335570469803E-2</v>
      </c>
      <c r="F326">
        <v>30100</v>
      </c>
      <c r="G326">
        <v>1865</v>
      </c>
      <c r="H326">
        <f t="shared" si="5"/>
        <v>1969.1610738255033</v>
      </c>
    </row>
    <row r="327" spans="3:8" x14ac:dyDescent="0.25">
      <c r="C327">
        <v>33301</v>
      </c>
      <c r="D327">
        <v>33400</v>
      </c>
      <c r="E327">
        <v>3.2550335570469803E-2</v>
      </c>
      <c r="F327">
        <v>30100</v>
      </c>
      <c r="G327">
        <v>1865</v>
      </c>
      <c r="H327">
        <f t="shared" si="5"/>
        <v>1972.4161073825503</v>
      </c>
    </row>
    <row r="328" spans="3:8" x14ac:dyDescent="0.25">
      <c r="C328">
        <v>33401</v>
      </c>
      <c r="D328">
        <v>33500</v>
      </c>
      <c r="E328">
        <v>3.2550335570469803E-2</v>
      </c>
      <c r="F328">
        <v>30100</v>
      </c>
      <c r="G328">
        <v>1865</v>
      </c>
      <c r="H328">
        <f t="shared" si="5"/>
        <v>1975.6711409395973</v>
      </c>
    </row>
    <row r="329" spans="3:8" x14ac:dyDescent="0.25">
      <c r="C329">
        <v>33501</v>
      </c>
      <c r="D329">
        <v>33600</v>
      </c>
      <c r="E329">
        <v>3.2550335570469803E-2</v>
      </c>
      <c r="F329">
        <v>30100</v>
      </c>
      <c r="G329">
        <v>1865</v>
      </c>
      <c r="H329">
        <f t="shared" si="5"/>
        <v>1978.9261744966443</v>
      </c>
    </row>
    <row r="330" spans="3:8" x14ac:dyDescent="0.25">
      <c r="C330">
        <v>33601</v>
      </c>
      <c r="D330">
        <v>33700</v>
      </c>
      <c r="E330">
        <v>3.2550335570469803E-2</v>
      </c>
      <c r="F330">
        <v>30100</v>
      </c>
      <c r="G330">
        <v>1865</v>
      </c>
      <c r="H330">
        <f t="shared" si="5"/>
        <v>1982.1812080536913</v>
      </c>
    </row>
    <row r="331" spans="3:8" x14ac:dyDescent="0.25">
      <c r="C331">
        <v>33701</v>
      </c>
      <c r="D331">
        <v>33800</v>
      </c>
      <c r="E331">
        <v>3.2550335570469803E-2</v>
      </c>
      <c r="F331">
        <v>30100</v>
      </c>
      <c r="G331">
        <v>1865</v>
      </c>
      <c r="H331">
        <f t="shared" si="5"/>
        <v>1985.4362416107383</v>
      </c>
    </row>
    <row r="332" spans="3:8" x14ac:dyDescent="0.25">
      <c r="C332">
        <v>33801</v>
      </c>
      <c r="D332">
        <v>33900</v>
      </c>
      <c r="E332">
        <v>3.2550335570469803E-2</v>
      </c>
      <c r="F332">
        <v>30100</v>
      </c>
      <c r="G332">
        <v>1865</v>
      </c>
      <c r="H332">
        <f t="shared" si="5"/>
        <v>1988.6912751677853</v>
      </c>
    </row>
    <row r="333" spans="3:8" x14ac:dyDescent="0.25">
      <c r="C333">
        <v>33901</v>
      </c>
      <c r="D333">
        <v>34000</v>
      </c>
      <c r="E333">
        <v>3.2550335570469803E-2</v>
      </c>
      <c r="F333">
        <v>30100</v>
      </c>
      <c r="G333">
        <v>1865</v>
      </c>
      <c r="H333">
        <f t="shared" si="5"/>
        <v>1991.9463087248323</v>
      </c>
    </row>
    <row r="334" spans="3:8" x14ac:dyDescent="0.25">
      <c r="C334">
        <v>34001</v>
      </c>
      <c r="D334">
        <v>34100</v>
      </c>
      <c r="E334">
        <v>3.2550335570469803E-2</v>
      </c>
      <c r="F334">
        <v>30100</v>
      </c>
      <c r="G334">
        <v>1865</v>
      </c>
      <c r="H334">
        <f t="shared" si="5"/>
        <v>1995.2013422818793</v>
      </c>
    </row>
    <row r="335" spans="3:8" x14ac:dyDescent="0.25">
      <c r="C335">
        <v>34101</v>
      </c>
      <c r="D335">
        <v>34200</v>
      </c>
      <c r="E335">
        <v>3.2550335570469803E-2</v>
      </c>
      <c r="F335">
        <v>30100</v>
      </c>
      <c r="G335">
        <v>1865</v>
      </c>
      <c r="H335">
        <f t="shared" si="5"/>
        <v>1998.4563758389263</v>
      </c>
    </row>
    <row r="336" spans="3:8" x14ac:dyDescent="0.25">
      <c r="C336">
        <v>34201</v>
      </c>
      <c r="D336">
        <v>34300</v>
      </c>
      <c r="E336">
        <v>3.2550335570469803E-2</v>
      </c>
      <c r="F336">
        <v>30100</v>
      </c>
      <c r="G336">
        <v>1865</v>
      </c>
      <c r="H336">
        <f t="shared" si="5"/>
        <v>2001.7114093959731</v>
      </c>
    </row>
    <row r="337" spans="3:8" x14ac:dyDescent="0.25">
      <c r="C337">
        <v>34301</v>
      </c>
      <c r="D337">
        <v>34400</v>
      </c>
      <c r="E337">
        <v>3.2550335570469803E-2</v>
      </c>
      <c r="F337">
        <v>30100</v>
      </c>
      <c r="G337">
        <v>1865</v>
      </c>
      <c r="H337">
        <f t="shared" si="5"/>
        <v>2004.9664429530201</v>
      </c>
    </row>
    <row r="338" spans="3:8" x14ac:dyDescent="0.25">
      <c r="C338">
        <v>34401</v>
      </c>
      <c r="D338">
        <v>34500</v>
      </c>
      <c r="E338">
        <v>3.2550335570469803E-2</v>
      </c>
      <c r="F338">
        <v>30100</v>
      </c>
      <c r="G338">
        <v>1865</v>
      </c>
      <c r="H338">
        <f t="shared" si="5"/>
        <v>2008.2214765100671</v>
      </c>
    </row>
    <row r="339" spans="3:8" x14ac:dyDescent="0.25">
      <c r="C339">
        <v>34501</v>
      </c>
      <c r="D339">
        <v>34600</v>
      </c>
      <c r="E339">
        <v>3.2550335570469803E-2</v>
      </c>
      <c r="F339">
        <v>30100</v>
      </c>
      <c r="G339">
        <v>1865</v>
      </c>
      <c r="H339">
        <f t="shared" si="5"/>
        <v>2011.4765100671141</v>
      </c>
    </row>
    <row r="340" spans="3:8" x14ac:dyDescent="0.25">
      <c r="C340">
        <v>34601</v>
      </c>
      <c r="D340">
        <v>34700</v>
      </c>
      <c r="E340">
        <v>3.2550335570469803E-2</v>
      </c>
      <c r="F340">
        <v>30100</v>
      </c>
      <c r="G340">
        <v>1865</v>
      </c>
      <c r="H340">
        <f t="shared" si="5"/>
        <v>2014.7315436241611</v>
      </c>
    </row>
    <row r="341" spans="3:8" x14ac:dyDescent="0.25">
      <c r="C341">
        <v>34701</v>
      </c>
      <c r="D341">
        <v>34800</v>
      </c>
      <c r="E341">
        <v>3.2550335570469803E-2</v>
      </c>
      <c r="F341">
        <v>30100</v>
      </c>
      <c r="G341">
        <v>1865</v>
      </c>
      <c r="H341">
        <f t="shared" si="5"/>
        <v>2017.9865771812081</v>
      </c>
    </row>
    <row r="342" spans="3:8" x14ac:dyDescent="0.25">
      <c r="C342">
        <v>34801</v>
      </c>
      <c r="D342">
        <v>34900</v>
      </c>
      <c r="E342">
        <v>3.2550335570469803E-2</v>
      </c>
      <c r="F342">
        <v>30100</v>
      </c>
      <c r="G342">
        <v>1865</v>
      </c>
      <c r="H342">
        <f t="shared" si="5"/>
        <v>2021.2416107382551</v>
      </c>
    </row>
    <row r="343" spans="3:8" x14ac:dyDescent="0.25">
      <c r="C343">
        <v>34901</v>
      </c>
      <c r="D343">
        <v>35000</v>
      </c>
      <c r="E343">
        <v>3.2550335570469803E-2</v>
      </c>
      <c r="F343">
        <v>30100</v>
      </c>
      <c r="G343">
        <v>1865</v>
      </c>
      <c r="H343">
        <f t="shared" si="5"/>
        <v>2024.4966442953021</v>
      </c>
    </row>
    <row r="344" spans="3:8" x14ac:dyDescent="0.25">
      <c r="C344">
        <v>35001</v>
      </c>
      <c r="D344">
        <v>35100</v>
      </c>
      <c r="E344">
        <v>3.2550335570469803E-2</v>
      </c>
      <c r="F344">
        <v>30100</v>
      </c>
      <c r="G344">
        <v>1865</v>
      </c>
      <c r="H344">
        <f t="shared" si="5"/>
        <v>2027.7516778523491</v>
      </c>
    </row>
    <row r="345" spans="3:8" x14ac:dyDescent="0.25">
      <c r="C345">
        <v>35101</v>
      </c>
      <c r="D345">
        <v>35200</v>
      </c>
      <c r="E345">
        <v>3.2550335570469803E-2</v>
      </c>
      <c r="F345">
        <v>30100</v>
      </c>
      <c r="G345">
        <v>1865</v>
      </c>
      <c r="H345">
        <f t="shared" si="5"/>
        <v>2031.0067114093961</v>
      </c>
    </row>
    <row r="346" spans="3:8" x14ac:dyDescent="0.25">
      <c r="C346">
        <v>35201</v>
      </c>
      <c r="D346">
        <v>35300</v>
      </c>
      <c r="E346">
        <v>3.2550335570469803E-2</v>
      </c>
      <c r="F346">
        <v>30100</v>
      </c>
      <c r="G346">
        <v>1865</v>
      </c>
      <c r="H346">
        <f t="shared" si="5"/>
        <v>2034.2617449664431</v>
      </c>
    </row>
    <row r="347" spans="3:8" x14ac:dyDescent="0.25">
      <c r="C347">
        <v>35301</v>
      </c>
      <c r="D347">
        <v>35400</v>
      </c>
      <c r="E347">
        <v>3.2550335570469803E-2</v>
      </c>
      <c r="F347">
        <v>30100</v>
      </c>
      <c r="G347">
        <v>1865</v>
      </c>
      <c r="H347">
        <f t="shared" si="5"/>
        <v>2037.5167785234898</v>
      </c>
    </row>
    <row r="348" spans="3:8" x14ac:dyDescent="0.25">
      <c r="C348">
        <v>35401</v>
      </c>
      <c r="D348">
        <v>35500</v>
      </c>
      <c r="E348">
        <v>3.2550335570469803E-2</v>
      </c>
      <c r="F348">
        <v>30100</v>
      </c>
      <c r="G348">
        <v>1865</v>
      </c>
      <c r="H348">
        <f t="shared" si="5"/>
        <v>2040.7718120805368</v>
      </c>
    </row>
    <row r="349" spans="3:8" x14ac:dyDescent="0.25">
      <c r="C349">
        <v>35501</v>
      </c>
      <c r="D349">
        <v>35600</v>
      </c>
      <c r="E349">
        <v>3.2550335570469803E-2</v>
      </c>
      <c r="F349">
        <v>30100</v>
      </c>
      <c r="G349">
        <v>1865</v>
      </c>
      <c r="H349">
        <f t="shared" si="5"/>
        <v>2044.0268456375838</v>
      </c>
    </row>
    <row r="350" spans="3:8" x14ac:dyDescent="0.25">
      <c r="C350">
        <v>35601</v>
      </c>
      <c r="D350">
        <v>35700</v>
      </c>
      <c r="E350">
        <v>3.2550335570469803E-2</v>
      </c>
      <c r="F350">
        <v>30100</v>
      </c>
      <c r="G350">
        <v>1865</v>
      </c>
      <c r="H350">
        <f t="shared" si="5"/>
        <v>2047.2818791946308</v>
      </c>
    </row>
    <row r="351" spans="3:8" x14ac:dyDescent="0.25">
      <c r="C351">
        <v>35701</v>
      </c>
      <c r="D351">
        <v>35800</v>
      </c>
      <c r="E351">
        <v>3.2550335570469803E-2</v>
      </c>
      <c r="F351">
        <v>30100</v>
      </c>
      <c r="G351">
        <v>1865</v>
      </c>
      <c r="H351">
        <f t="shared" si="5"/>
        <v>2050.5369127516778</v>
      </c>
    </row>
    <row r="352" spans="3:8" x14ac:dyDescent="0.25">
      <c r="C352">
        <v>35801</v>
      </c>
      <c r="D352">
        <v>35900</v>
      </c>
      <c r="E352">
        <v>3.2550335570469803E-2</v>
      </c>
      <c r="F352">
        <v>30100</v>
      </c>
      <c r="G352">
        <v>1865</v>
      </c>
      <c r="H352">
        <f t="shared" si="5"/>
        <v>2053.7919463087246</v>
      </c>
    </row>
    <row r="353" spans="3:8" x14ac:dyDescent="0.25">
      <c r="C353">
        <v>35901</v>
      </c>
      <c r="D353">
        <v>36000</v>
      </c>
      <c r="E353">
        <v>3.2550335570469803E-2</v>
      </c>
      <c r="F353">
        <v>30100</v>
      </c>
      <c r="G353">
        <v>1865</v>
      </c>
      <c r="H353">
        <f t="shared" si="5"/>
        <v>2057.0469798657718</v>
      </c>
    </row>
    <row r="354" spans="3:8" x14ac:dyDescent="0.25">
      <c r="C354">
        <v>36001</v>
      </c>
      <c r="D354">
        <v>36100</v>
      </c>
      <c r="E354">
        <v>3.2550335570469803E-2</v>
      </c>
      <c r="F354">
        <v>30100</v>
      </c>
      <c r="G354">
        <v>1865</v>
      </c>
      <c r="H354">
        <f t="shared" si="5"/>
        <v>2060.3020134228186</v>
      </c>
    </row>
    <row r="355" spans="3:8" x14ac:dyDescent="0.25">
      <c r="C355">
        <v>36101</v>
      </c>
      <c r="D355">
        <v>36200</v>
      </c>
      <c r="E355">
        <v>3.2550335570469803E-2</v>
      </c>
      <c r="F355">
        <v>30100</v>
      </c>
      <c r="G355">
        <v>1865</v>
      </c>
      <c r="H355">
        <f t="shared" si="5"/>
        <v>2063.5570469798658</v>
      </c>
    </row>
    <row r="356" spans="3:8" x14ac:dyDescent="0.25">
      <c r="C356">
        <v>36201</v>
      </c>
      <c r="D356">
        <v>36300</v>
      </c>
      <c r="E356">
        <v>3.2550335570469803E-2</v>
      </c>
      <c r="F356">
        <v>30100</v>
      </c>
      <c r="G356">
        <v>1865</v>
      </c>
      <c r="H356">
        <f t="shared" si="5"/>
        <v>2066.8120805369126</v>
      </c>
    </row>
    <row r="357" spans="3:8" x14ac:dyDescent="0.25">
      <c r="C357">
        <v>36301</v>
      </c>
      <c r="D357">
        <v>36400</v>
      </c>
      <c r="E357">
        <v>3.2550335570469803E-2</v>
      </c>
      <c r="F357">
        <v>30100</v>
      </c>
      <c r="G357">
        <v>1865</v>
      </c>
      <c r="H357">
        <f t="shared" si="5"/>
        <v>2070.0671140939598</v>
      </c>
    </row>
    <row r="358" spans="3:8" x14ac:dyDescent="0.25">
      <c r="C358">
        <v>36401</v>
      </c>
      <c r="D358">
        <v>36500</v>
      </c>
      <c r="E358">
        <v>3.2550335570469803E-2</v>
      </c>
      <c r="F358">
        <v>30100</v>
      </c>
      <c r="G358">
        <v>1865</v>
      </c>
      <c r="H358">
        <f t="shared" si="5"/>
        <v>2073.3221476510066</v>
      </c>
    </row>
    <row r="359" spans="3:8" x14ac:dyDescent="0.25">
      <c r="C359">
        <v>36501</v>
      </c>
      <c r="D359">
        <v>36600</v>
      </c>
      <c r="E359">
        <v>3.2550335570469803E-2</v>
      </c>
      <c r="F359">
        <v>30100</v>
      </c>
      <c r="G359">
        <v>1865</v>
      </c>
      <c r="H359">
        <f t="shared" si="5"/>
        <v>2076.5771812080538</v>
      </c>
    </row>
    <row r="360" spans="3:8" x14ac:dyDescent="0.25">
      <c r="C360">
        <v>36601</v>
      </c>
      <c r="D360">
        <v>36700</v>
      </c>
      <c r="E360">
        <v>3.2550335570469803E-2</v>
      </c>
      <c r="F360">
        <v>30100</v>
      </c>
      <c r="G360">
        <v>1865</v>
      </c>
      <c r="H360">
        <f t="shared" si="5"/>
        <v>2079.8322147651006</v>
      </c>
    </row>
    <row r="361" spans="3:8" x14ac:dyDescent="0.25">
      <c r="C361">
        <v>36701</v>
      </c>
      <c r="D361">
        <v>36800</v>
      </c>
      <c r="E361">
        <v>3.2550335570469803E-2</v>
      </c>
      <c r="F361">
        <v>30100</v>
      </c>
      <c r="G361">
        <v>1865</v>
      </c>
      <c r="H361">
        <f t="shared" si="5"/>
        <v>2083.0872483221478</v>
      </c>
    </row>
    <row r="362" spans="3:8" x14ac:dyDescent="0.25">
      <c r="C362">
        <v>36801</v>
      </c>
      <c r="D362">
        <v>36900</v>
      </c>
      <c r="E362">
        <v>3.2550335570469803E-2</v>
      </c>
      <c r="F362">
        <v>30100</v>
      </c>
      <c r="G362">
        <v>1865</v>
      </c>
      <c r="H362">
        <f t="shared" si="5"/>
        <v>2086.3422818791946</v>
      </c>
    </row>
    <row r="363" spans="3:8" x14ac:dyDescent="0.25">
      <c r="C363">
        <v>36901</v>
      </c>
      <c r="D363">
        <v>37000</v>
      </c>
      <c r="E363">
        <v>3.2550335570469803E-2</v>
      </c>
      <c r="F363">
        <v>30100</v>
      </c>
      <c r="G363">
        <v>1865</v>
      </c>
      <c r="H363">
        <f t="shared" si="5"/>
        <v>2089.5973154362418</v>
      </c>
    </row>
    <row r="364" spans="3:8" x14ac:dyDescent="0.25">
      <c r="C364">
        <v>37001</v>
      </c>
      <c r="D364">
        <v>37100</v>
      </c>
      <c r="E364">
        <v>3.2550335570469803E-2</v>
      </c>
      <c r="F364">
        <v>30100</v>
      </c>
      <c r="G364">
        <v>1865</v>
      </c>
      <c r="H364">
        <f t="shared" si="5"/>
        <v>2092.8523489932886</v>
      </c>
    </row>
    <row r="365" spans="3:8" x14ac:dyDescent="0.25">
      <c r="C365">
        <v>37101</v>
      </c>
      <c r="D365">
        <v>37200</v>
      </c>
      <c r="E365">
        <v>3.2550335570469803E-2</v>
      </c>
      <c r="F365">
        <v>30100</v>
      </c>
      <c r="G365">
        <v>1865</v>
      </c>
      <c r="H365">
        <f t="shared" si="5"/>
        <v>2096.1073825503354</v>
      </c>
    </row>
    <row r="366" spans="3:8" x14ac:dyDescent="0.25">
      <c r="C366">
        <v>37201</v>
      </c>
      <c r="D366">
        <v>37300</v>
      </c>
      <c r="E366">
        <v>3.2550335570469803E-2</v>
      </c>
      <c r="F366">
        <v>30100</v>
      </c>
      <c r="G366">
        <v>1865</v>
      </c>
      <c r="H366">
        <f t="shared" si="5"/>
        <v>2099.3624161073826</v>
      </c>
    </row>
    <row r="367" spans="3:8" x14ac:dyDescent="0.25">
      <c r="C367">
        <v>37301</v>
      </c>
      <c r="D367">
        <v>37400</v>
      </c>
      <c r="E367">
        <v>3.2550335570469803E-2</v>
      </c>
      <c r="F367">
        <v>30100</v>
      </c>
      <c r="G367">
        <v>1865</v>
      </c>
      <c r="H367">
        <f t="shared" si="5"/>
        <v>2102.6174496644294</v>
      </c>
    </row>
    <row r="368" spans="3:8" x14ac:dyDescent="0.25">
      <c r="C368">
        <v>37401</v>
      </c>
      <c r="D368">
        <v>37500</v>
      </c>
      <c r="E368">
        <v>3.2550335570469803E-2</v>
      </c>
      <c r="F368">
        <v>30100</v>
      </c>
      <c r="G368">
        <v>1865</v>
      </c>
      <c r="H368">
        <f t="shared" si="5"/>
        <v>2105.8724832214766</v>
      </c>
    </row>
    <row r="369" spans="3:8" x14ac:dyDescent="0.25">
      <c r="C369">
        <v>37501</v>
      </c>
      <c r="D369">
        <v>37600</v>
      </c>
      <c r="E369">
        <v>3.2550335570469803E-2</v>
      </c>
      <c r="F369">
        <v>30100</v>
      </c>
      <c r="G369">
        <v>1865</v>
      </c>
      <c r="H369">
        <f t="shared" si="5"/>
        <v>2109.1275167785234</v>
      </c>
    </row>
    <row r="370" spans="3:8" x14ac:dyDescent="0.25">
      <c r="C370">
        <v>37601</v>
      </c>
      <c r="D370">
        <v>37700</v>
      </c>
      <c r="E370">
        <v>3.2550335570469803E-2</v>
      </c>
      <c r="F370">
        <v>30100</v>
      </c>
      <c r="G370">
        <v>1865</v>
      </c>
      <c r="H370">
        <f t="shared" si="5"/>
        <v>2112.3825503355706</v>
      </c>
    </row>
    <row r="371" spans="3:8" x14ac:dyDescent="0.25">
      <c r="C371">
        <v>37701</v>
      </c>
      <c r="D371">
        <v>37800</v>
      </c>
      <c r="E371">
        <v>3.2550335570469803E-2</v>
      </c>
      <c r="F371">
        <v>30100</v>
      </c>
      <c r="G371">
        <v>1865</v>
      </c>
      <c r="H371">
        <f t="shared" si="5"/>
        <v>2115.6375838926174</v>
      </c>
    </row>
    <row r="372" spans="3:8" x14ac:dyDescent="0.25">
      <c r="C372">
        <v>37801</v>
      </c>
      <c r="D372">
        <v>37900</v>
      </c>
      <c r="E372">
        <v>3.2550335570469803E-2</v>
      </c>
      <c r="F372">
        <v>30100</v>
      </c>
      <c r="G372">
        <v>1865</v>
      </c>
      <c r="H372">
        <f t="shared" si="5"/>
        <v>2118.8926174496646</v>
      </c>
    </row>
    <row r="373" spans="3:8" x14ac:dyDescent="0.25">
      <c r="C373">
        <v>37901</v>
      </c>
      <c r="D373">
        <v>38000</v>
      </c>
      <c r="E373">
        <v>3.2550335570469803E-2</v>
      </c>
      <c r="F373">
        <v>30100</v>
      </c>
      <c r="G373">
        <v>1865</v>
      </c>
      <c r="H373">
        <f t="shared" si="5"/>
        <v>2122.1476510067114</v>
      </c>
    </row>
    <row r="374" spans="3:8" x14ac:dyDescent="0.25">
      <c r="C374">
        <v>38001</v>
      </c>
      <c r="D374">
        <v>38100</v>
      </c>
      <c r="E374">
        <v>3.2550335570469803E-2</v>
      </c>
      <c r="F374">
        <v>30100</v>
      </c>
      <c r="G374">
        <v>1865</v>
      </c>
      <c r="H374">
        <f t="shared" si="5"/>
        <v>2125.4026845637586</v>
      </c>
    </row>
    <row r="375" spans="3:8" x14ac:dyDescent="0.25">
      <c r="C375">
        <v>38101</v>
      </c>
      <c r="D375">
        <v>38200</v>
      </c>
      <c r="E375">
        <v>3.2550335570469803E-2</v>
      </c>
      <c r="F375">
        <v>30100</v>
      </c>
      <c r="G375">
        <v>1865</v>
      </c>
      <c r="H375">
        <f t="shared" si="5"/>
        <v>2128.6577181208054</v>
      </c>
    </row>
    <row r="376" spans="3:8" x14ac:dyDescent="0.25">
      <c r="C376">
        <v>38201</v>
      </c>
      <c r="D376">
        <v>38300</v>
      </c>
      <c r="E376">
        <v>3.2550335570469803E-2</v>
      </c>
      <c r="F376">
        <v>30100</v>
      </c>
      <c r="G376">
        <v>1865</v>
      </c>
      <c r="H376">
        <f t="shared" si="5"/>
        <v>2131.9127516778526</v>
      </c>
    </row>
    <row r="377" spans="3:8" x14ac:dyDescent="0.25">
      <c r="C377">
        <v>38301</v>
      </c>
      <c r="D377">
        <v>38400</v>
      </c>
      <c r="E377">
        <v>3.2550335570469803E-2</v>
      </c>
      <c r="F377">
        <v>30100</v>
      </c>
      <c r="G377">
        <v>1865</v>
      </c>
      <c r="H377">
        <f t="shared" si="5"/>
        <v>2135.1677852348994</v>
      </c>
    </row>
    <row r="378" spans="3:8" x14ac:dyDescent="0.25">
      <c r="C378">
        <v>38401</v>
      </c>
      <c r="D378">
        <v>38500</v>
      </c>
      <c r="E378">
        <v>3.2550335570469803E-2</v>
      </c>
      <c r="F378">
        <v>30100</v>
      </c>
      <c r="G378">
        <v>1865</v>
      </c>
      <c r="H378">
        <f t="shared" si="5"/>
        <v>2138.4228187919462</v>
      </c>
    </row>
    <row r="379" spans="3:8" x14ac:dyDescent="0.25">
      <c r="C379">
        <v>38501</v>
      </c>
      <c r="D379">
        <v>38600</v>
      </c>
      <c r="E379">
        <v>3.2550335570469803E-2</v>
      </c>
      <c r="F379">
        <v>30100</v>
      </c>
      <c r="G379">
        <v>1865</v>
      </c>
      <c r="H379">
        <f t="shared" si="5"/>
        <v>2141.6778523489934</v>
      </c>
    </row>
    <row r="380" spans="3:8" x14ac:dyDescent="0.25">
      <c r="C380">
        <v>38601</v>
      </c>
      <c r="D380">
        <v>38700</v>
      </c>
      <c r="E380">
        <v>3.2550335570469803E-2</v>
      </c>
      <c r="F380">
        <v>30100</v>
      </c>
      <c r="G380">
        <v>1865</v>
      </c>
      <c r="H380">
        <f t="shared" si="5"/>
        <v>2144.9328859060402</v>
      </c>
    </row>
    <row r="381" spans="3:8" x14ac:dyDescent="0.25">
      <c r="C381">
        <v>38701</v>
      </c>
      <c r="D381">
        <v>38800</v>
      </c>
      <c r="E381">
        <v>3.2550335570469803E-2</v>
      </c>
      <c r="F381">
        <v>30100</v>
      </c>
      <c r="G381">
        <v>1865</v>
      </c>
      <c r="H381">
        <f t="shared" si="5"/>
        <v>2148.1879194630874</v>
      </c>
    </row>
    <row r="382" spans="3:8" x14ac:dyDescent="0.25">
      <c r="C382">
        <v>38801</v>
      </c>
      <c r="D382">
        <v>38900</v>
      </c>
      <c r="E382">
        <v>3.2550335570469803E-2</v>
      </c>
      <c r="F382">
        <v>30100</v>
      </c>
      <c r="G382">
        <v>1865</v>
      </c>
      <c r="H382">
        <f t="shared" si="5"/>
        <v>2151.4429530201342</v>
      </c>
    </row>
    <row r="383" spans="3:8" x14ac:dyDescent="0.25">
      <c r="C383">
        <v>38901</v>
      </c>
      <c r="D383">
        <v>39000</v>
      </c>
      <c r="E383">
        <v>3.2550335570469803E-2</v>
      </c>
      <c r="F383">
        <v>30100</v>
      </c>
      <c r="G383">
        <v>1865</v>
      </c>
      <c r="H383">
        <f t="shared" si="5"/>
        <v>2154.6979865771814</v>
      </c>
    </row>
    <row r="384" spans="3:8" x14ac:dyDescent="0.25">
      <c r="C384">
        <v>39001</v>
      </c>
      <c r="D384">
        <v>39100</v>
      </c>
      <c r="E384">
        <v>3.2550335570469803E-2</v>
      </c>
      <c r="F384">
        <v>30100</v>
      </c>
      <c r="G384">
        <v>1865</v>
      </c>
      <c r="H384">
        <f t="shared" si="5"/>
        <v>2157.9530201342282</v>
      </c>
    </row>
    <row r="385" spans="3:8" x14ac:dyDescent="0.25">
      <c r="C385">
        <v>39101</v>
      </c>
      <c r="D385">
        <v>39200</v>
      </c>
      <c r="E385">
        <v>3.2550335570469803E-2</v>
      </c>
      <c r="F385">
        <v>30100</v>
      </c>
      <c r="G385">
        <v>1865</v>
      </c>
      <c r="H385">
        <f t="shared" si="5"/>
        <v>2161.2080536912754</v>
      </c>
    </row>
    <row r="386" spans="3:8" x14ac:dyDescent="0.25">
      <c r="C386">
        <v>39201</v>
      </c>
      <c r="D386">
        <v>39300</v>
      </c>
      <c r="E386">
        <v>3.2550335570469803E-2</v>
      </c>
      <c r="F386">
        <v>30100</v>
      </c>
      <c r="G386">
        <v>1865</v>
      </c>
      <c r="H386">
        <f t="shared" si="5"/>
        <v>2164.4630872483222</v>
      </c>
    </row>
    <row r="387" spans="3:8" x14ac:dyDescent="0.25">
      <c r="C387">
        <v>39301</v>
      </c>
      <c r="D387">
        <v>39400</v>
      </c>
      <c r="E387">
        <v>3.2550335570469803E-2</v>
      </c>
      <c r="F387">
        <v>30100</v>
      </c>
      <c r="G387">
        <v>1865</v>
      </c>
      <c r="H387">
        <f t="shared" si="5"/>
        <v>2167.7181208053689</v>
      </c>
    </row>
    <row r="388" spans="3:8" x14ac:dyDescent="0.25">
      <c r="C388">
        <v>39401</v>
      </c>
      <c r="D388">
        <v>39500</v>
      </c>
      <c r="E388">
        <v>3.2550335570469803E-2</v>
      </c>
      <c r="F388">
        <v>30100</v>
      </c>
      <c r="G388">
        <v>1865</v>
      </c>
      <c r="H388">
        <f t="shared" ref="H388:H451" si="6">G388+(D388-F388)*E388</f>
        <v>2170.9731543624162</v>
      </c>
    </row>
    <row r="389" spans="3:8" x14ac:dyDescent="0.25">
      <c r="C389">
        <v>39501</v>
      </c>
      <c r="D389">
        <v>39600</v>
      </c>
      <c r="E389">
        <v>3.2550335570469803E-2</v>
      </c>
      <c r="F389">
        <v>30100</v>
      </c>
      <c r="G389">
        <v>1865</v>
      </c>
      <c r="H389">
        <f t="shared" si="6"/>
        <v>2174.2281879194634</v>
      </c>
    </row>
    <row r="390" spans="3:8" x14ac:dyDescent="0.25">
      <c r="C390">
        <v>39601</v>
      </c>
      <c r="D390">
        <v>39700</v>
      </c>
      <c r="E390">
        <v>3.2550335570469803E-2</v>
      </c>
      <c r="F390">
        <v>30100</v>
      </c>
      <c r="G390">
        <v>1865</v>
      </c>
      <c r="H390">
        <f t="shared" si="6"/>
        <v>2177.4832214765102</v>
      </c>
    </row>
    <row r="391" spans="3:8" x14ac:dyDescent="0.25">
      <c r="C391">
        <v>39701</v>
      </c>
      <c r="D391">
        <v>39800</v>
      </c>
      <c r="E391">
        <v>3.2550335570469803E-2</v>
      </c>
      <c r="F391">
        <v>30100</v>
      </c>
      <c r="G391">
        <v>1865</v>
      </c>
      <c r="H391">
        <f t="shared" si="6"/>
        <v>2180.7382550335569</v>
      </c>
    </row>
    <row r="392" spans="3:8" x14ac:dyDescent="0.25">
      <c r="C392">
        <v>39801</v>
      </c>
      <c r="D392">
        <v>39900</v>
      </c>
      <c r="E392">
        <v>3.2550335570469803E-2</v>
      </c>
      <c r="F392">
        <v>30100</v>
      </c>
      <c r="G392">
        <v>1865</v>
      </c>
      <c r="H392">
        <f t="shared" si="6"/>
        <v>2183.9932885906042</v>
      </c>
    </row>
    <row r="393" spans="3:8" x14ac:dyDescent="0.25">
      <c r="C393">
        <v>39901</v>
      </c>
      <c r="D393">
        <v>40000</v>
      </c>
      <c r="E393">
        <v>3.2550335570469803E-2</v>
      </c>
      <c r="F393">
        <v>30100</v>
      </c>
      <c r="G393">
        <v>1865</v>
      </c>
      <c r="H393">
        <f t="shared" si="6"/>
        <v>2187.2483221476509</v>
      </c>
    </row>
    <row r="394" spans="3:8" x14ac:dyDescent="0.25">
      <c r="C394">
        <v>40001</v>
      </c>
      <c r="D394">
        <v>40100</v>
      </c>
      <c r="E394">
        <v>3.2550335570469803E-2</v>
      </c>
      <c r="F394">
        <v>30100</v>
      </c>
      <c r="G394">
        <v>1865</v>
      </c>
      <c r="H394">
        <f t="shared" si="6"/>
        <v>2190.5033557046982</v>
      </c>
    </row>
    <row r="395" spans="3:8" x14ac:dyDescent="0.25">
      <c r="C395">
        <v>40101</v>
      </c>
      <c r="D395">
        <v>40200</v>
      </c>
      <c r="E395">
        <v>3.2550335570469803E-2</v>
      </c>
      <c r="F395">
        <v>30100</v>
      </c>
      <c r="G395">
        <v>1865</v>
      </c>
      <c r="H395">
        <f t="shared" si="6"/>
        <v>2193.7583892617449</v>
      </c>
    </row>
    <row r="396" spans="3:8" x14ac:dyDescent="0.25">
      <c r="C396">
        <v>40201</v>
      </c>
      <c r="D396">
        <v>40300</v>
      </c>
      <c r="E396">
        <v>3.2550335570469803E-2</v>
      </c>
      <c r="F396">
        <v>30100</v>
      </c>
      <c r="G396">
        <v>1865</v>
      </c>
      <c r="H396">
        <f t="shared" si="6"/>
        <v>2197.0134228187922</v>
      </c>
    </row>
    <row r="397" spans="3:8" x14ac:dyDescent="0.25">
      <c r="C397">
        <v>40301</v>
      </c>
      <c r="D397">
        <v>40400</v>
      </c>
      <c r="E397">
        <v>3.2550335570469803E-2</v>
      </c>
      <c r="F397">
        <v>30100</v>
      </c>
      <c r="G397">
        <v>1865</v>
      </c>
      <c r="H397">
        <f t="shared" si="6"/>
        <v>2200.2684563758389</v>
      </c>
    </row>
    <row r="398" spans="3:8" x14ac:dyDescent="0.25">
      <c r="C398">
        <v>40401</v>
      </c>
      <c r="D398">
        <v>40500</v>
      </c>
      <c r="E398">
        <v>3.2550335570469803E-2</v>
      </c>
      <c r="F398">
        <v>30100</v>
      </c>
      <c r="G398">
        <v>1865</v>
      </c>
      <c r="H398">
        <f t="shared" si="6"/>
        <v>2203.5234899328862</v>
      </c>
    </row>
    <row r="399" spans="3:8" x14ac:dyDescent="0.25">
      <c r="C399">
        <v>40501</v>
      </c>
      <c r="D399">
        <v>40600</v>
      </c>
      <c r="E399">
        <v>3.2550335570469803E-2</v>
      </c>
      <c r="F399">
        <v>30100</v>
      </c>
      <c r="G399">
        <v>1865</v>
      </c>
      <c r="H399">
        <f t="shared" si="6"/>
        <v>2206.7785234899329</v>
      </c>
    </row>
    <row r="400" spans="3:8" x14ac:dyDescent="0.25">
      <c r="C400">
        <v>40601</v>
      </c>
      <c r="D400">
        <v>40700</v>
      </c>
      <c r="E400">
        <v>3.2550335570469803E-2</v>
      </c>
      <c r="F400">
        <v>30100</v>
      </c>
      <c r="G400">
        <v>1865</v>
      </c>
      <c r="H400">
        <f t="shared" si="6"/>
        <v>2210.0335570469797</v>
      </c>
    </row>
    <row r="401" spans="3:8" x14ac:dyDescent="0.25">
      <c r="C401">
        <v>40701</v>
      </c>
      <c r="D401">
        <v>40800</v>
      </c>
      <c r="E401">
        <v>3.2550335570469803E-2</v>
      </c>
      <c r="F401">
        <v>30100</v>
      </c>
      <c r="G401">
        <v>1865</v>
      </c>
      <c r="H401">
        <f t="shared" si="6"/>
        <v>2213.2885906040269</v>
      </c>
    </row>
    <row r="402" spans="3:8" x14ac:dyDescent="0.25">
      <c r="C402">
        <v>40801</v>
      </c>
      <c r="D402">
        <v>40900</v>
      </c>
      <c r="E402">
        <v>3.2550335570469803E-2</v>
      </c>
      <c r="F402">
        <v>30100</v>
      </c>
      <c r="G402">
        <v>1865</v>
      </c>
      <c r="H402">
        <f t="shared" si="6"/>
        <v>2216.5436241610737</v>
      </c>
    </row>
    <row r="403" spans="3:8" x14ac:dyDescent="0.25">
      <c r="C403">
        <v>40901</v>
      </c>
      <c r="D403">
        <v>41000</v>
      </c>
      <c r="E403">
        <v>3.2550335570469803E-2</v>
      </c>
      <c r="F403">
        <v>30100</v>
      </c>
      <c r="G403">
        <v>1865</v>
      </c>
      <c r="H403">
        <f t="shared" si="6"/>
        <v>2219.7986577181209</v>
      </c>
    </row>
    <row r="404" spans="3:8" x14ac:dyDescent="0.25">
      <c r="C404">
        <v>41001</v>
      </c>
      <c r="D404">
        <v>41100</v>
      </c>
      <c r="E404">
        <v>3.2550335570469803E-2</v>
      </c>
      <c r="F404">
        <v>30100</v>
      </c>
      <c r="G404">
        <v>1865</v>
      </c>
      <c r="H404">
        <f t="shared" si="6"/>
        <v>2223.0536912751677</v>
      </c>
    </row>
    <row r="405" spans="3:8" x14ac:dyDescent="0.25">
      <c r="C405">
        <v>41101</v>
      </c>
      <c r="D405">
        <v>41200</v>
      </c>
      <c r="E405">
        <v>3.2550335570469803E-2</v>
      </c>
      <c r="F405">
        <v>30100</v>
      </c>
      <c r="G405">
        <v>1865</v>
      </c>
      <c r="H405">
        <f t="shared" si="6"/>
        <v>2226.3087248322149</v>
      </c>
    </row>
    <row r="406" spans="3:8" x14ac:dyDescent="0.25">
      <c r="C406">
        <v>41201</v>
      </c>
      <c r="D406">
        <v>41300</v>
      </c>
      <c r="E406">
        <v>3.2550335570469803E-2</v>
      </c>
      <c r="F406">
        <v>30100</v>
      </c>
      <c r="G406">
        <v>1865</v>
      </c>
      <c r="H406">
        <f t="shared" si="6"/>
        <v>2229.5637583892617</v>
      </c>
    </row>
    <row r="407" spans="3:8" x14ac:dyDescent="0.25">
      <c r="C407">
        <v>41301</v>
      </c>
      <c r="D407">
        <v>41400</v>
      </c>
      <c r="E407">
        <v>3.2550335570469803E-2</v>
      </c>
      <c r="F407">
        <v>30100</v>
      </c>
      <c r="G407">
        <v>1865</v>
      </c>
      <c r="H407">
        <f t="shared" si="6"/>
        <v>2232.8187919463089</v>
      </c>
    </row>
    <row r="408" spans="3:8" x14ac:dyDescent="0.25">
      <c r="C408">
        <v>41401</v>
      </c>
      <c r="D408">
        <v>41500</v>
      </c>
      <c r="E408">
        <v>3.2550335570469803E-2</v>
      </c>
      <c r="F408">
        <v>30100</v>
      </c>
      <c r="G408">
        <v>1865</v>
      </c>
      <c r="H408">
        <f t="shared" si="6"/>
        <v>2236.0738255033557</v>
      </c>
    </row>
    <row r="409" spans="3:8" x14ac:dyDescent="0.25">
      <c r="C409">
        <v>41501</v>
      </c>
      <c r="D409">
        <v>41600</v>
      </c>
      <c r="E409">
        <v>3.2550335570469803E-2</v>
      </c>
      <c r="F409">
        <v>30100</v>
      </c>
      <c r="G409">
        <v>1865</v>
      </c>
      <c r="H409">
        <f t="shared" si="6"/>
        <v>2239.3288590604029</v>
      </c>
    </row>
    <row r="410" spans="3:8" x14ac:dyDescent="0.25">
      <c r="C410">
        <v>41601</v>
      </c>
      <c r="D410">
        <v>41700</v>
      </c>
      <c r="E410">
        <v>3.2550335570469803E-2</v>
      </c>
      <c r="F410">
        <v>30100</v>
      </c>
      <c r="G410">
        <v>1865</v>
      </c>
      <c r="H410">
        <f t="shared" si="6"/>
        <v>2242.5838926174497</v>
      </c>
    </row>
    <row r="411" spans="3:8" x14ac:dyDescent="0.25">
      <c r="C411">
        <v>41701</v>
      </c>
      <c r="D411">
        <v>41800</v>
      </c>
      <c r="E411">
        <v>3.2550335570469803E-2</v>
      </c>
      <c r="F411">
        <v>30100</v>
      </c>
      <c r="G411">
        <v>1865</v>
      </c>
      <c r="H411">
        <f t="shared" si="6"/>
        <v>2245.8389261744969</v>
      </c>
    </row>
    <row r="412" spans="3:8" x14ac:dyDescent="0.25">
      <c r="C412">
        <v>41801</v>
      </c>
      <c r="D412">
        <v>41900</v>
      </c>
      <c r="E412">
        <v>3.2550335570469803E-2</v>
      </c>
      <c r="F412">
        <v>30100</v>
      </c>
      <c r="G412">
        <v>1865</v>
      </c>
      <c r="H412">
        <f t="shared" si="6"/>
        <v>2249.0939597315437</v>
      </c>
    </row>
    <row r="413" spans="3:8" x14ac:dyDescent="0.25">
      <c r="C413">
        <v>41901</v>
      </c>
      <c r="D413">
        <v>42000</v>
      </c>
      <c r="E413">
        <v>3.2550335570469803E-2</v>
      </c>
      <c r="F413">
        <v>30100</v>
      </c>
      <c r="G413">
        <v>1865</v>
      </c>
      <c r="H413">
        <f t="shared" si="6"/>
        <v>2252.3489932885905</v>
      </c>
    </row>
    <row r="414" spans="3:8" x14ac:dyDescent="0.25">
      <c r="C414">
        <v>42001</v>
      </c>
      <c r="D414">
        <v>42100</v>
      </c>
      <c r="E414">
        <v>3.2550335570469803E-2</v>
      </c>
      <c r="F414">
        <v>30100</v>
      </c>
      <c r="G414">
        <v>1865</v>
      </c>
      <c r="H414">
        <f t="shared" si="6"/>
        <v>2255.6040268456377</v>
      </c>
    </row>
    <row r="415" spans="3:8" x14ac:dyDescent="0.25">
      <c r="C415">
        <v>42101</v>
      </c>
      <c r="D415">
        <v>42200</v>
      </c>
      <c r="E415">
        <v>3.2550335570469803E-2</v>
      </c>
      <c r="F415">
        <v>30100</v>
      </c>
      <c r="G415">
        <v>1865</v>
      </c>
      <c r="H415">
        <f t="shared" si="6"/>
        <v>2258.8590604026845</v>
      </c>
    </row>
    <row r="416" spans="3:8" x14ac:dyDescent="0.25">
      <c r="C416">
        <v>42201</v>
      </c>
      <c r="D416">
        <v>42300</v>
      </c>
      <c r="E416">
        <v>3.2550335570469803E-2</v>
      </c>
      <c r="F416">
        <v>30100</v>
      </c>
      <c r="G416">
        <v>1865</v>
      </c>
      <c r="H416">
        <f t="shared" si="6"/>
        <v>2262.1140939597317</v>
      </c>
    </row>
    <row r="417" spans="3:8" x14ac:dyDescent="0.25">
      <c r="C417">
        <v>42301</v>
      </c>
      <c r="D417">
        <v>42400</v>
      </c>
      <c r="E417">
        <v>3.2550335570469803E-2</v>
      </c>
      <c r="F417">
        <v>30100</v>
      </c>
      <c r="G417">
        <v>1865</v>
      </c>
      <c r="H417">
        <f t="shared" si="6"/>
        <v>2265.3691275167785</v>
      </c>
    </row>
    <row r="418" spans="3:8" x14ac:dyDescent="0.25">
      <c r="C418">
        <v>42401</v>
      </c>
      <c r="D418">
        <v>42500</v>
      </c>
      <c r="E418">
        <v>3.2550335570469803E-2</v>
      </c>
      <c r="F418">
        <v>30100</v>
      </c>
      <c r="G418">
        <v>1865</v>
      </c>
      <c r="H418">
        <f t="shared" si="6"/>
        <v>2268.6241610738257</v>
      </c>
    </row>
    <row r="419" spans="3:8" x14ac:dyDescent="0.25">
      <c r="C419">
        <v>42501</v>
      </c>
      <c r="D419">
        <v>42600</v>
      </c>
      <c r="E419">
        <v>3.2550335570469803E-2</v>
      </c>
      <c r="F419">
        <v>30100</v>
      </c>
      <c r="G419">
        <v>1865</v>
      </c>
      <c r="H419">
        <f t="shared" si="6"/>
        <v>2271.8791946308725</v>
      </c>
    </row>
    <row r="420" spans="3:8" x14ac:dyDescent="0.25">
      <c r="C420">
        <v>42601</v>
      </c>
      <c r="D420">
        <v>42700</v>
      </c>
      <c r="E420">
        <v>3.2550335570469803E-2</v>
      </c>
      <c r="F420">
        <v>30100</v>
      </c>
      <c r="G420">
        <v>1865</v>
      </c>
      <c r="H420">
        <f t="shared" si="6"/>
        <v>2275.1342281879197</v>
      </c>
    </row>
    <row r="421" spans="3:8" x14ac:dyDescent="0.25">
      <c r="C421">
        <v>42701</v>
      </c>
      <c r="D421">
        <v>42800</v>
      </c>
      <c r="E421">
        <v>3.2550335570469803E-2</v>
      </c>
      <c r="F421">
        <v>30100</v>
      </c>
      <c r="G421">
        <v>1865</v>
      </c>
      <c r="H421">
        <f t="shared" si="6"/>
        <v>2278.3892617449665</v>
      </c>
    </row>
    <row r="422" spans="3:8" x14ac:dyDescent="0.25">
      <c r="C422">
        <v>42801</v>
      </c>
      <c r="D422">
        <v>42900</v>
      </c>
      <c r="E422">
        <v>3.2550335570469803E-2</v>
      </c>
      <c r="F422">
        <v>30100</v>
      </c>
      <c r="G422">
        <v>1865</v>
      </c>
      <c r="H422">
        <f t="shared" si="6"/>
        <v>2281.6442953020132</v>
      </c>
    </row>
    <row r="423" spans="3:8" x14ac:dyDescent="0.25">
      <c r="C423">
        <v>42901</v>
      </c>
      <c r="D423">
        <v>43000</v>
      </c>
      <c r="E423">
        <v>3.2550335570469803E-2</v>
      </c>
      <c r="F423">
        <v>30100</v>
      </c>
      <c r="G423">
        <v>1865</v>
      </c>
      <c r="H423">
        <f t="shared" si="6"/>
        <v>2284.8993288590605</v>
      </c>
    </row>
    <row r="424" spans="3:8" x14ac:dyDescent="0.25">
      <c r="C424">
        <v>43001</v>
      </c>
      <c r="D424">
        <v>43100</v>
      </c>
      <c r="E424">
        <v>3.2550335570469803E-2</v>
      </c>
      <c r="F424">
        <v>30100</v>
      </c>
      <c r="G424">
        <v>1865</v>
      </c>
      <c r="H424">
        <f t="shared" si="6"/>
        <v>2288.1543624161077</v>
      </c>
    </row>
    <row r="425" spans="3:8" x14ac:dyDescent="0.25">
      <c r="C425">
        <v>43101</v>
      </c>
      <c r="D425">
        <v>43200</v>
      </c>
      <c r="E425">
        <v>3.2550335570469803E-2</v>
      </c>
      <c r="F425">
        <v>30100</v>
      </c>
      <c r="G425">
        <v>1865</v>
      </c>
      <c r="H425">
        <f t="shared" si="6"/>
        <v>2291.4093959731545</v>
      </c>
    </row>
    <row r="426" spans="3:8" x14ac:dyDescent="0.25">
      <c r="C426">
        <v>43201</v>
      </c>
      <c r="D426">
        <v>43300</v>
      </c>
      <c r="E426">
        <v>3.2550335570469803E-2</v>
      </c>
      <c r="F426">
        <v>30100</v>
      </c>
      <c r="G426">
        <v>1865</v>
      </c>
      <c r="H426">
        <f t="shared" si="6"/>
        <v>2294.6644295302012</v>
      </c>
    </row>
    <row r="427" spans="3:8" x14ac:dyDescent="0.25">
      <c r="C427">
        <v>43301</v>
      </c>
      <c r="D427">
        <v>43400</v>
      </c>
      <c r="E427">
        <v>3.2550335570469803E-2</v>
      </c>
      <c r="F427">
        <v>30100</v>
      </c>
      <c r="G427">
        <v>1865</v>
      </c>
      <c r="H427">
        <f t="shared" si="6"/>
        <v>2297.9194630872485</v>
      </c>
    </row>
    <row r="428" spans="3:8" x14ac:dyDescent="0.25">
      <c r="C428">
        <v>43401</v>
      </c>
      <c r="D428">
        <v>43500</v>
      </c>
      <c r="E428">
        <v>3.2550335570469803E-2</v>
      </c>
      <c r="F428">
        <v>30100</v>
      </c>
      <c r="G428">
        <v>1865</v>
      </c>
      <c r="H428">
        <f t="shared" si="6"/>
        <v>2301.1744966442952</v>
      </c>
    </row>
    <row r="429" spans="3:8" x14ac:dyDescent="0.25">
      <c r="C429">
        <v>43501</v>
      </c>
      <c r="D429">
        <v>43600</v>
      </c>
      <c r="E429">
        <v>3.2550335570469803E-2</v>
      </c>
      <c r="F429">
        <v>30100</v>
      </c>
      <c r="G429">
        <v>1865</v>
      </c>
      <c r="H429">
        <f t="shared" si="6"/>
        <v>2304.4295302013425</v>
      </c>
    </row>
    <row r="430" spans="3:8" x14ac:dyDescent="0.25">
      <c r="C430">
        <v>43601</v>
      </c>
      <c r="D430">
        <v>43700</v>
      </c>
      <c r="E430">
        <v>3.2550335570469803E-2</v>
      </c>
      <c r="F430">
        <v>30100</v>
      </c>
      <c r="G430">
        <v>1865</v>
      </c>
      <c r="H430">
        <f t="shared" si="6"/>
        <v>2307.6845637583892</v>
      </c>
    </row>
    <row r="431" spans="3:8" x14ac:dyDescent="0.25">
      <c r="C431">
        <v>43701</v>
      </c>
      <c r="D431">
        <v>43800</v>
      </c>
      <c r="E431">
        <v>3.2550335570469803E-2</v>
      </c>
      <c r="F431">
        <v>30100</v>
      </c>
      <c r="G431">
        <v>1865</v>
      </c>
      <c r="H431">
        <f t="shared" si="6"/>
        <v>2310.9395973154365</v>
      </c>
    </row>
    <row r="432" spans="3:8" x14ac:dyDescent="0.25">
      <c r="C432">
        <v>43801</v>
      </c>
      <c r="D432">
        <v>43900</v>
      </c>
      <c r="E432">
        <v>3.2550335570469803E-2</v>
      </c>
      <c r="F432">
        <v>30100</v>
      </c>
      <c r="G432">
        <v>1865</v>
      </c>
      <c r="H432">
        <f t="shared" si="6"/>
        <v>2314.1946308724832</v>
      </c>
    </row>
    <row r="433" spans="2:8" x14ac:dyDescent="0.25">
      <c r="C433">
        <v>43901</v>
      </c>
      <c r="D433">
        <v>44000</v>
      </c>
      <c r="E433">
        <v>3.2550335570469803E-2</v>
      </c>
      <c r="F433">
        <v>30100</v>
      </c>
      <c r="G433">
        <v>1865</v>
      </c>
      <c r="H433">
        <f t="shared" si="6"/>
        <v>2317.4496644295305</v>
      </c>
    </row>
    <row r="434" spans="2:8" x14ac:dyDescent="0.25">
      <c r="C434">
        <v>44001</v>
      </c>
      <c r="D434">
        <v>44100</v>
      </c>
      <c r="E434">
        <v>3.2550335570469803E-2</v>
      </c>
      <c r="F434">
        <v>30100</v>
      </c>
      <c r="G434">
        <v>1865</v>
      </c>
      <c r="H434">
        <f t="shared" si="6"/>
        <v>2320.7046979865772</v>
      </c>
    </row>
    <row r="435" spans="2:8" x14ac:dyDescent="0.25">
      <c r="C435">
        <v>44101</v>
      </c>
      <c r="D435">
        <v>44200</v>
      </c>
      <c r="E435">
        <v>3.2550335570469803E-2</v>
      </c>
      <c r="F435">
        <v>30100</v>
      </c>
      <c r="G435">
        <v>1865</v>
      </c>
      <c r="H435">
        <f t="shared" si="6"/>
        <v>2323.959731543624</v>
      </c>
    </row>
    <row r="436" spans="2:8" x14ac:dyDescent="0.25">
      <c r="C436">
        <v>44201</v>
      </c>
      <c r="D436">
        <v>44300</v>
      </c>
      <c r="E436">
        <v>3.2550335570469803E-2</v>
      </c>
      <c r="F436">
        <v>30100</v>
      </c>
      <c r="G436">
        <v>1865</v>
      </c>
      <c r="H436">
        <f t="shared" si="6"/>
        <v>2327.2147651006712</v>
      </c>
    </row>
    <row r="437" spans="2:8" x14ac:dyDescent="0.25">
      <c r="C437">
        <v>44301</v>
      </c>
      <c r="D437">
        <v>44400</v>
      </c>
      <c r="E437">
        <v>3.2550335570469803E-2</v>
      </c>
      <c r="F437">
        <v>30100</v>
      </c>
      <c r="G437">
        <v>1865</v>
      </c>
      <c r="H437">
        <f t="shared" si="6"/>
        <v>2330.469798657718</v>
      </c>
    </row>
    <row r="438" spans="2:8" x14ac:dyDescent="0.25">
      <c r="C438">
        <v>44401</v>
      </c>
      <c r="D438">
        <v>44500</v>
      </c>
      <c r="E438">
        <v>3.2550335570469803E-2</v>
      </c>
      <c r="F438">
        <v>30100</v>
      </c>
      <c r="G438">
        <v>1865</v>
      </c>
      <c r="H438">
        <f t="shared" si="6"/>
        <v>2333.7248322147652</v>
      </c>
    </row>
    <row r="439" spans="2:8" x14ac:dyDescent="0.25">
      <c r="C439">
        <v>44501</v>
      </c>
      <c r="D439">
        <v>44600</v>
      </c>
      <c r="E439">
        <v>3.2550335570469803E-2</v>
      </c>
      <c r="F439">
        <v>30100</v>
      </c>
      <c r="G439">
        <v>1865</v>
      </c>
      <c r="H439">
        <f t="shared" si="6"/>
        <v>2336.979865771812</v>
      </c>
    </row>
    <row r="440" spans="2:8" x14ac:dyDescent="0.25">
      <c r="C440">
        <v>44601</v>
      </c>
      <c r="D440">
        <v>44700</v>
      </c>
      <c r="E440">
        <v>3.2550335570469803E-2</v>
      </c>
      <c r="F440">
        <v>30100</v>
      </c>
      <c r="G440">
        <v>1865</v>
      </c>
      <c r="H440">
        <f t="shared" si="6"/>
        <v>2340.2348993288592</v>
      </c>
    </row>
    <row r="441" spans="2:8" x14ac:dyDescent="0.25">
      <c r="C441">
        <v>44701</v>
      </c>
      <c r="D441">
        <v>44800</v>
      </c>
      <c r="E441">
        <v>3.2550335570469803E-2</v>
      </c>
      <c r="F441">
        <v>30100</v>
      </c>
      <c r="G441">
        <v>1865</v>
      </c>
      <c r="H441">
        <f t="shared" si="6"/>
        <v>2343.489932885906</v>
      </c>
    </row>
    <row r="442" spans="2:8" x14ac:dyDescent="0.25">
      <c r="C442">
        <v>44801</v>
      </c>
      <c r="D442">
        <v>44900</v>
      </c>
      <c r="E442">
        <v>3.2550335570469803E-2</v>
      </c>
      <c r="F442">
        <v>30100</v>
      </c>
      <c r="G442">
        <v>1865</v>
      </c>
      <c r="H442">
        <f t="shared" si="6"/>
        <v>2346.7449664429532</v>
      </c>
    </row>
    <row r="443" spans="2:8" x14ac:dyDescent="0.25">
      <c r="B443" t="s">
        <v>36</v>
      </c>
      <c r="C443">
        <v>44901</v>
      </c>
      <c r="D443">
        <v>45000</v>
      </c>
      <c r="E443">
        <v>3.2550335570469803E-2</v>
      </c>
      <c r="F443">
        <v>30100</v>
      </c>
      <c r="G443">
        <v>1865</v>
      </c>
      <c r="H443">
        <f t="shared" si="6"/>
        <v>2350</v>
      </c>
    </row>
    <row r="444" spans="2:8" x14ac:dyDescent="0.25">
      <c r="B444" t="s">
        <v>36</v>
      </c>
      <c r="C444">
        <v>45001</v>
      </c>
      <c r="D444">
        <v>45100</v>
      </c>
      <c r="E444">
        <v>1.9463087248322099E-2</v>
      </c>
      <c r="F444">
        <v>45100</v>
      </c>
      <c r="G444">
        <v>2370</v>
      </c>
      <c r="H444">
        <f t="shared" si="6"/>
        <v>2370</v>
      </c>
    </row>
    <row r="445" spans="2:8" x14ac:dyDescent="0.25">
      <c r="C445">
        <v>45101</v>
      </c>
      <c r="D445">
        <v>45200</v>
      </c>
      <c r="E445">
        <v>1.9463087248322099E-2</v>
      </c>
      <c r="F445">
        <v>45100</v>
      </c>
      <c r="G445">
        <v>2370</v>
      </c>
      <c r="H445">
        <f t="shared" si="6"/>
        <v>2371.9463087248323</v>
      </c>
    </row>
    <row r="446" spans="2:8" x14ac:dyDescent="0.25">
      <c r="C446">
        <v>45201</v>
      </c>
      <c r="D446">
        <v>45300</v>
      </c>
      <c r="E446">
        <v>1.9463087248322099E-2</v>
      </c>
      <c r="F446">
        <v>45100</v>
      </c>
      <c r="G446">
        <v>2370</v>
      </c>
      <c r="H446">
        <f t="shared" si="6"/>
        <v>2373.8926174496646</v>
      </c>
    </row>
    <row r="447" spans="2:8" x14ac:dyDescent="0.25">
      <c r="C447">
        <v>45301</v>
      </c>
      <c r="D447">
        <v>45400</v>
      </c>
      <c r="E447">
        <v>1.9463087248322099E-2</v>
      </c>
      <c r="F447">
        <v>45100</v>
      </c>
      <c r="G447">
        <v>2370</v>
      </c>
      <c r="H447">
        <f t="shared" si="6"/>
        <v>2375.8389261744965</v>
      </c>
    </row>
    <row r="448" spans="2:8" x14ac:dyDescent="0.25">
      <c r="C448">
        <v>45401</v>
      </c>
      <c r="D448">
        <v>45500</v>
      </c>
      <c r="E448">
        <v>1.9463087248322099E-2</v>
      </c>
      <c r="F448">
        <v>45100</v>
      </c>
      <c r="G448">
        <v>2370</v>
      </c>
      <c r="H448">
        <f t="shared" si="6"/>
        <v>2377.7852348993288</v>
      </c>
    </row>
    <row r="449" spans="3:8" x14ac:dyDescent="0.25">
      <c r="C449">
        <v>45501</v>
      </c>
      <c r="D449">
        <v>45600</v>
      </c>
      <c r="E449">
        <v>1.9463087248322099E-2</v>
      </c>
      <c r="F449">
        <v>45100</v>
      </c>
      <c r="G449">
        <v>2370</v>
      </c>
      <c r="H449">
        <f t="shared" si="6"/>
        <v>2379.7315436241611</v>
      </c>
    </row>
    <row r="450" spans="3:8" x14ac:dyDescent="0.25">
      <c r="C450">
        <v>45601</v>
      </c>
      <c r="D450">
        <v>45700</v>
      </c>
      <c r="E450">
        <v>1.9463087248322099E-2</v>
      </c>
      <c r="F450">
        <v>45100</v>
      </c>
      <c r="G450">
        <v>2370</v>
      </c>
      <c r="H450">
        <f t="shared" si="6"/>
        <v>2381.6778523489934</v>
      </c>
    </row>
    <row r="451" spans="3:8" x14ac:dyDescent="0.25">
      <c r="C451">
        <v>45701</v>
      </c>
      <c r="D451">
        <v>45800</v>
      </c>
      <c r="E451">
        <v>1.9463087248322099E-2</v>
      </c>
      <c r="F451">
        <v>45100</v>
      </c>
      <c r="G451">
        <v>2370</v>
      </c>
      <c r="H451">
        <f t="shared" si="6"/>
        <v>2383.6241610738257</v>
      </c>
    </row>
    <row r="452" spans="3:8" x14ac:dyDescent="0.25">
      <c r="C452">
        <v>45801</v>
      </c>
      <c r="D452">
        <v>45900</v>
      </c>
      <c r="E452">
        <v>1.9463087248322099E-2</v>
      </c>
      <c r="F452">
        <v>45100</v>
      </c>
      <c r="G452">
        <v>2370</v>
      </c>
      <c r="H452">
        <f t="shared" ref="H452:H515" si="7">G452+(D452-F452)*E452</f>
        <v>2385.5704697986575</v>
      </c>
    </row>
    <row r="453" spans="3:8" x14ac:dyDescent="0.25">
      <c r="C453">
        <v>45901</v>
      </c>
      <c r="D453">
        <v>46000</v>
      </c>
      <c r="E453">
        <v>1.9463087248322099E-2</v>
      </c>
      <c r="F453">
        <v>45100</v>
      </c>
      <c r="G453">
        <v>2370</v>
      </c>
      <c r="H453">
        <f t="shared" si="7"/>
        <v>2387.5167785234898</v>
      </c>
    </row>
    <row r="454" spans="3:8" x14ac:dyDescent="0.25">
      <c r="C454">
        <v>46001</v>
      </c>
      <c r="D454">
        <v>46100</v>
      </c>
      <c r="E454">
        <v>1.9463087248322099E-2</v>
      </c>
      <c r="F454">
        <v>45100</v>
      </c>
      <c r="G454">
        <v>2370</v>
      </c>
      <c r="H454">
        <f t="shared" si="7"/>
        <v>2389.4630872483222</v>
      </c>
    </row>
    <row r="455" spans="3:8" x14ac:dyDescent="0.25">
      <c r="C455">
        <v>46101</v>
      </c>
      <c r="D455">
        <v>46200</v>
      </c>
      <c r="E455">
        <v>1.9463087248322099E-2</v>
      </c>
      <c r="F455">
        <v>45100</v>
      </c>
      <c r="G455">
        <v>2370</v>
      </c>
      <c r="H455">
        <f t="shared" si="7"/>
        <v>2391.4093959731545</v>
      </c>
    </row>
    <row r="456" spans="3:8" x14ac:dyDescent="0.25">
      <c r="C456">
        <v>46201</v>
      </c>
      <c r="D456">
        <v>46300</v>
      </c>
      <c r="E456">
        <v>1.9463087248322099E-2</v>
      </c>
      <c r="F456">
        <v>45100</v>
      </c>
      <c r="G456">
        <v>2370</v>
      </c>
      <c r="H456">
        <f t="shared" si="7"/>
        <v>2393.3557046979863</v>
      </c>
    </row>
    <row r="457" spans="3:8" x14ac:dyDescent="0.25">
      <c r="C457">
        <v>46301</v>
      </c>
      <c r="D457">
        <v>46400</v>
      </c>
      <c r="E457">
        <v>1.9463087248322099E-2</v>
      </c>
      <c r="F457">
        <v>45100</v>
      </c>
      <c r="G457">
        <v>2370</v>
      </c>
      <c r="H457">
        <f t="shared" si="7"/>
        <v>2395.3020134228186</v>
      </c>
    </row>
    <row r="458" spans="3:8" x14ac:dyDescent="0.25">
      <c r="C458">
        <v>46401</v>
      </c>
      <c r="D458">
        <v>46500</v>
      </c>
      <c r="E458">
        <v>1.9463087248322099E-2</v>
      </c>
      <c r="F458">
        <v>45100</v>
      </c>
      <c r="G458">
        <v>2370</v>
      </c>
      <c r="H458">
        <f t="shared" si="7"/>
        <v>2397.2483221476509</v>
      </c>
    </row>
    <row r="459" spans="3:8" x14ac:dyDescent="0.25">
      <c r="C459">
        <v>46501</v>
      </c>
      <c r="D459">
        <v>46600</v>
      </c>
      <c r="E459">
        <v>1.9463087248322099E-2</v>
      </c>
      <c r="F459">
        <v>45100</v>
      </c>
      <c r="G459">
        <v>2370</v>
      </c>
      <c r="H459">
        <f t="shared" si="7"/>
        <v>2399.1946308724832</v>
      </c>
    </row>
    <row r="460" spans="3:8" x14ac:dyDescent="0.25">
      <c r="C460">
        <v>46601</v>
      </c>
      <c r="D460">
        <v>46700</v>
      </c>
      <c r="E460">
        <v>1.9463087248322099E-2</v>
      </c>
      <c r="F460">
        <v>45100</v>
      </c>
      <c r="G460">
        <v>2370</v>
      </c>
      <c r="H460">
        <f t="shared" si="7"/>
        <v>2401.1409395973155</v>
      </c>
    </row>
    <row r="461" spans="3:8" x14ac:dyDescent="0.25">
      <c r="C461">
        <v>46701</v>
      </c>
      <c r="D461">
        <v>46800</v>
      </c>
      <c r="E461">
        <v>1.9463087248322099E-2</v>
      </c>
      <c r="F461">
        <v>45100</v>
      </c>
      <c r="G461">
        <v>2370</v>
      </c>
      <c r="H461">
        <f t="shared" si="7"/>
        <v>2403.0872483221474</v>
      </c>
    </row>
    <row r="462" spans="3:8" x14ac:dyDescent="0.25">
      <c r="C462">
        <v>46801</v>
      </c>
      <c r="D462">
        <v>46900</v>
      </c>
      <c r="E462">
        <v>1.9463087248322099E-2</v>
      </c>
      <c r="F462">
        <v>45100</v>
      </c>
      <c r="G462">
        <v>2370</v>
      </c>
      <c r="H462">
        <f t="shared" si="7"/>
        <v>2405.0335570469797</v>
      </c>
    </row>
    <row r="463" spans="3:8" x14ac:dyDescent="0.25">
      <c r="C463">
        <v>46901</v>
      </c>
      <c r="D463">
        <v>47000</v>
      </c>
      <c r="E463">
        <v>1.9463087248322099E-2</v>
      </c>
      <c r="F463">
        <v>45100</v>
      </c>
      <c r="G463">
        <v>2370</v>
      </c>
      <c r="H463">
        <f t="shared" si="7"/>
        <v>2406.979865771812</v>
      </c>
    </row>
    <row r="464" spans="3:8" x14ac:dyDescent="0.25">
      <c r="C464">
        <v>47001</v>
      </c>
      <c r="D464">
        <v>47100</v>
      </c>
      <c r="E464">
        <v>1.9463087248322099E-2</v>
      </c>
      <c r="F464">
        <v>45100</v>
      </c>
      <c r="G464">
        <v>2370</v>
      </c>
      <c r="H464">
        <f t="shared" si="7"/>
        <v>2408.9261744966443</v>
      </c>
    </row>
    <row r="465" spans="3:8" x14ac:dyDescent="0.25">
      <c r="C465">
        <v>47101</v>
      </c>
      <c r="D465">
        <v>47200</v>
      </c>
      <c r="E465">
        <v>1.9463087248322099E-2</v>
      </c>
      <c r="F465">
        <v>45100</v>
      </c>
      <c r="G465">
        <v>2370</v>
      </c>
      <c r="H465">
        <f t="shared" si="7"/>
        <v>2410.8724832214766</v>
      </c>
    </row>
    <row r="466" spans="3:8" x14ac:dyDescent="0.25">
      <c r="C466">
        <v>47201</v>
      </c>
      <c r="D466">
        <v>47300</v>
      </c>
      <c r="E466">
        <v>1.9463087248322099E-2</v>
      </c>
      <c r="F466">
        <v>45100</v>
      </c>
      <c r="G466">
        <v>2370</v>
      </c>
      <c r="H466">
        <f t="shared" si="7"/>
        <v>2412.8187919463085</v>
      </c>
    </row>
    <row r="467" spans="3:8" x14ac:dyDescent="0.25">
      <c r="C467">
        <v>47301</v>
      </c>
      <c r="D467">
        <v>47400</v>
      </c>
      <c r="E467">
        <v>1.9463087248322099E-2</v>
      </c>
      <c r="F467">
        <v>45100</v>
      </c>
      <c r="G467">
        <v>2370</v>
      </c>
      <c r="H467">
        <f t="shared" si="7"/>
        <v>2414.7651006711408</v>
      </c>
    </row>
    <row r="468" spans="3:8" x14ac:dyDescent="0.25">
      <c r="C468">
        <v>47401</v>
      </c>
      <c r="D468">
        <v>47500</v>
      </c>
      <c r="E468">
        <v>1.9463087248322099E-2</v>
      </c>
      <c r="F468">
        <v>45100</v>
      </c>
      <c r="G468">
        <v>2370</v>
      </c>
      <c r="H468">
        <f t="shared" si="7"/>
        <v>2416.7114093959731</v>
      </c>
    </row>
    <row r="469" spans="3:8" x14ac:dyDescent="0.25">
      <c r="C469">
        <v>47501</v>
      </c>
      <c r="D469">
        <v>47600</v>
      </c>
      <c r="E469">
        <v>1.9463087248322099E-2</v>
      </c>
      <c r="F469">
        <v>45100</v>
      </c>
      <c r="G469">
        <v>2370</v>
      </c>
      <c r="H469">
        <f t="shared" si="7"/>
        <v>2418.6577181208054</v>
      </c>
    </row>
    <row r="470" spans="3:8" x14ac:dyDescent="0.25">
      <c r="C470">
        <v>47601</v>
      </c>
      <c r="D470">
        <v>47700</v>
      </c>
      <c r="E470">
        <v>1.9463087248322099E-2</v>
      </c>
      <c r="F470">
        <v>45100</v>
      </c>
      <c r="G470">
        <v>2370</v>
      </c>
      <c r="H470">
        <f t="shared" si="7"/>
        <v>2420.6040268456372</v>
      </c>
    </row>
    <row r="471" spans="3:8" x14ac:dyDescent="0.25">
      <c r="C471">
        <v>47701</v>
      </c>
      <c r="D471">
        <v>47800</v>
      </c>
      <c r="E471">
        <v>1.9463087248322099E-2</v>
      </c>
      <c r="F471">
        <v>45100</v>
      </c>
      <c r="G471">
        <v>2370</v>
      </c>
      <c r="H471">
        <f t="shared" si="7"/>
        <v>2422.5503355704695</v>
      </c>
    </row>
    <row r="472" spans="3:8" x14ac:dyDescent="0.25">
      <c r="C472">
        <v>47801</v>
      </c>
      <c r="D472">
        <v>47900</v>
      </c>
      <c r="E472">
        <v>1.9463087248322099E-2</v>
      </c>
      <c r="F472">
        <v>45100</v>
      </c>
      <c r="G472">
        <v>2370</v>
      </c>
      <c r="H472">
        <f t="shared" si="7"/>
        <v>2424.4966442953018</v>
      </c>
    </row>
    <row r="473" spans="3:8" x14ac:dyDescent="0.25">
      <c r="C473">
        <v>47901</v>
      </c>
      <c r="D473">
        <v>48000</v>
      </c>
      <c r="E473">
        <v>1.9463087248322099E-2</v>
      </c>
      <c r="F473">
        <v>45100</v>
      </c>
      <c r="G473">
        <v>2370</v>
      </c>
      <c r="H473">
        <f t="shared" si="7"/>
        <v>2426.4429530201342</v>
      </c>
    </row>
    <row r="474" spans="3:8" x14ac:dyDescent="0.25">
      <c r="C474">
        <v>48001</v>
      </c>
      <c r="D474">
        <v>48100</v>
      </c>
      <c r="E474">
        <v>1.9463087248322099E-2</v>
      </c>
      <c r="F474">
        <v>45100</v>
      </c>
      <c r="G474">
        <v>2370</v>
      </c>
      <c r="H474">
        <f t="shared" si="7"/>
        <v>2428.3892617449665</v>
      </c>
    </row>
    <row r="475" spans="3:8" x14ac:dyDescent="0.25">
      <c r="C475">
        <v>48101</v>
      </c>
      <c r="D475">
        <v>48200</v>
      </c>
      <c r="E475">
        <v>1.9463087248322099E-2</v>
      </c>
      <c r="F475">
        <v>45100</v>
      </c>
      <c r="G475">
        <v>2370</v>
      </c>
      <c r="H475">
        <f t="shared" si="7"/>
        <v>2430.3355704697983</v>
      </c>
    </row>
    <row r="476" spans="3:8" x14ac:dyDescent="0.25">
      <c r="C476">
        <v>48201</v>
      </c>
      <c r="D476">
        <v>48300</v>
      </c>
      <c r="E476">
        <v>1.9463087248322099E-2</v>
      </c>
      <c r="F476">
        <v>45100</v>
      </c>
      <c r="G476">
        <v>2370</v>
      </c>
      <c r="H476">
        <f t="shared" si="7"/>
        <v>2432.2818791946306</v>
      </c>
    </row>
    <row r="477" spans="3:8" x14ac:dyDescent="0.25">
      <c r="C477">
        <v>48301</v>
      </c>
      <c r="D477">
        <v>48400</v>
      </c>
      <c r="E477">
        <v>1.9463087248322099E-2</v>
      </c>
      <c r="F477">
        <v>45100</v>
      </c>
      <c r="G477">
        <v>2370</v>
      </c>
      <c r="H477">
        <f t="shared" si="7"/>
        <v>2434.2281879194629</v>
      </c>
    </row>
    <row r="478" spans="3:8" x14ac:dyDescent="0.25">
      <c r="C478">
        <v>48401</v>
      </c>
      <c r="D478">
        <v>48500</v>
      </c>
      <c r="E478">
        <v>1.9463087248322099E-2</v>
      </c>
      <c r="F478">
        <v>45100</v>
      </c>
      <c r="G478">
        <v>2370</v>
      </c>
      <c r="H478">
        <f t="shared" si="7"/>
        <v>2436.1744966442952</v>
      </c>
    </row>
    <row r="479" spans="3:8" x14ac:dyDescent="0.25">
      <c r="C479">
        <v>48501</v>
      </c>
      <c r="D479">
        <v>48600</v>
      </c>
      <c r="E479">
        <v>1.9463087248322099E-2</v>
      </c>
      <c r="F479">
        <v>45100</v>
      </c>
      <c r="G479">
        <v>2370</v>
      </c>
      <c r="H479">
        <f t="shared" si="7"/>
        <v>2438.1208053691275</v>
      </c>
    </row>
    <row r="480" spans="3:8" x14ac:dyDescent="0.25">
      <c r="C480">
        <v>48601</v>
      </c>
      <c r="D480">
        <v>48700</v>
      </c>
      <c r="E480">
        <v>1.9463087248322099E-2</v>
      </c>
      <c r="F480">
        <v>45100</v>
      </c>
      <c r="G480">
        <v>2370</v>
      </c>
      <c r="H480">
        <f t="shared" si="7"/>
        <v>2440.0671140939594</v>
      </c>
    </row>
    <row r="481" spans="3:8" x14ac:dyDescent="0.25">
      <c r="C481">
        <v>48701</v>
      </c>
      <c r="D481">
        <v>48800</v>
      </c>
      <c r="E481">
        <v>1.9463087248322099E-2</v>
      </c>
      <c r="F481">
        <v>45100</v>
      </c>
      <c r="G481">
        <v>2370</v>
      </c>
      <c r="H481">
        <f t="shared" si="7"/>
        <v>2442.0134228187917</v>
      </c>
    </row>
    <row r="482" spans="3:8" x14ac:dyDescent="0.25">
      <c r="C482">
        <v>48801</v>
      </c>
      <c r="D482">
        <v>48900</v>
      </c>
      <c r="E482">
        <v>1.9463087248322099E-2</v>
      </c>
      <c r="F482">
        <v>45100</v>
      </c>
      <c r="G482">
        <v>2370</v>
      </c>
      <c r="H482">
        <f t="shared" si="7"/>
        <v>2443.959731543624</v>
      </c>
    </row>
    <row r="483" spans="3:8" x14ac:dyDescent="0.25">
      <c r="C483">
        <v>48901</v>
      </c>
      <c r="D483">
        <v>49000</v>
      </c>
      <c r="E483">
        <v>1.9463087248322099E-2</v>
      </c>
      <c r="F483">
        <v>45100</v>
      </c>
      <c r="G483">
        <v>2370</v>
      </c>
      <c r="H483">
        <f t="shared" si="7"/>
        <v>2445.9060402684563</v>
      </c>
    </row>
    <row r="484" spans="3:8" x14ac:dyDescent="0.25">
      <c r="C484">
        <v>49001</v>
      </c>
      <c r="D484">
        <v>49100</v>
      </c>
      <c r="E484">
        <v>1.9463087248322099E-2</v>
      </c>
      <c r="F484">
        <v>45100</v>
      </c>
      <c r="G484">
        <v>2370</v>
      </c>
      <c r="H484">
        <f t="shared" si="7"/>
        <v>2447.8523489932886</v>
      </c>
    </row>
    <row r="485" spans="3:8" x14ac:dyDescent="0.25">
      <c r="C485">
        <v>49101</v>
      </c>
      <c r="D485">
        <v>49200</v>
      </c>
      <c r="E485">
        <v>1.9463087248322099E-2</v>
      </c>
      <c r="F485">
        <v>45100</v>
      </c>
      <c r="G485">
        <v>2370</v>
      </c>
      <c r="H485">
        <f t="shared" si="7"/>
        <v>2449.7986577181205</v>
      </c>
    </row>
    <row r="486" spans="3:8" x14ac:dyDescent="0.25">
      <c r="C486">
        <v>49201</v>
      </c>
      <c r="D486">
        <v>49300</v>
      </c>
      <c r="E486">
        <v>1.9463087248322099E-2</v>
      </c>
      <c r="F486">
        <v>45100</v>
      </c>
      <c r="G486">
        <v>2370</v>
      </c>
      <c r="H486">
        <f t="shared" si="7"/>
        <v>2451.7449664429528</v>
      </c>
    </row>
    <row r="487" spans="3:8" x14ac:dyDescent="0.25">
      <c r="C487">
        <v>49301</v>
      </c>
      <c r="D487">
        <v>49400</v>
      </c>
      <c r="E487">
        <v>1.9463087248322099E-2</v>
      </c>
      <c r="F487">
        <v>45100</v>
      </c>
      <c r="G487">
        <v>2370</v>
      </c>
      <c r="H487">
        <f t="shared" si="7"/>
        <v>2453.6912751677851</v>
      </c>
    </row>
    <row r="488" spans="3:8" x14ac:dyDescent="0.25">
      <c r="C488">
        <v>49401</v>
      </c>
      <c r="D488">
        <v>49500</v>
      </c>
      <c r="E488">
        <v>1.9463087248322099E-2</v>
      </c>
      <c r="F488">
        <v>45100</v>
      </c>
      <c r="G488">
        <v>2370</v>
      </c>
      <c r="H488">
        <f t="shared" si="7"/>
        <v>2455.6375838926174</v>
      </c>
    </row>
    <row r="489" spans="3:8" x14ac:dyDescent="0.25">
      <c r="C489">
        <v>49501</v>
      </c>
      <c r="D489">
        <v>49600</v>
      </c>
      <c r="E489">
        <v>1.9463087248322099E-2</v>
      </c>
      <c r="F489">
        <v>45100</v>
      </c>
      <c r="G489">
        <v>2370</v>
      </c>
      <c r="H489">
        <f t="shared" si="7"/>
        <v>2457.5838926174492</v>
      </c>
    </row>
    <row r="490" spans="3:8" x14ac:dyDescent="0.25">
      <c r="C490">
        <v>49601</v>
      </c>
      <c r="D490">
        <v>49700</v>
      </c>
      <c r="E490">
        <v>1.9463087248322099E-2</v>
      </c>
      <c r="F490">
        <v>45100</v>
      </c>
      <c r="G490">
        <v>2370</v>
      </c>
      <c r="H490">
        <f t="shared" si="7"/>
        <v>2459.5302013422815</v>
      </c>
    </row>
    <row r="491" spans="3:8" x14ac:dyDescent="0.25">
      <c r="C491">
        <v>49701</v>
      </c>
      <c r="D491">
        <v>49800</v>
      </c>
      <c r="E491">
        <v>1.9463087248322099E-2</v>
      </c>
      <c r="F491">
        <v>45100</v>
      </c>
      <c r="G491">
        <v>2370</v>
      </c>
      <c r="H491">
        <f t="shared" si="7"/>
        <v>2461.4765100671138</v>
      </c>
    </row>
    <row r="492" spans="3:8" x14ac:dyDescent="0.25">
      <c r="C492">
        <v>49801</v>
      </c>
      <c r="D492">
        <v>49900</v>
      </c>
      <c r="E492">
        <v>1.9463087248322099E-2</v>
      </c>
      <c r="F492">
        <v>45100</v>
      </c>
      <c r="G492">
        <v>2370</v>
      </c>
      <c r="H492">
        <f t="shared" si="7"/>
        <v>2463.4228187919462</v>
      </c>
    </row>
    <row r="493" spans="3:8" x14ac:dyDescent="0.25">
      <c r="C493">
        <v>49901</v>
      </c>
      <c r="D493">
        <v>50000</v>
      </c>
      <c r="E493">
        <v>1.9463087248322099E-2</v>
      </c>
      <c r="F493">
        <v>45100</v>
      </c>
      <c r="G493">
        <v>2370</v>
      </c>
      <c r="H493">
        <f t="shared" si="7"/>
        <v>2465.3691275167785</v>
      </c>
    </row>
    <row r="494" spans="3:8" x14ac:dyDescent="0.25">
      <c r="C494">
        <v>50001</v>
      </c>
      <c r="D494">
        <v>50100</v>
      </c>
      <c r="E494">
        <v>1.9463087248322099E-2</v>
      </c>
      <c r="F494">
        <v>45100</v>
      </c>
      <c r="G494">
        <v>2370</v>
      </c>
      <c r="H494">
        <f t="shared" si="7"/>
        <v>2467.3154362416103</v>
      </c>
    </row>
    <row r="495" spans="3:8" x14ac:dyDescent="0.25">
      <c r="C495">
        <v>50101</v>
      </c>
      <c r="D495">
        <v>50200</v>
      </c>
      <c r="E495">
        <v>1.9463087248322099E-2</v>
      </c>
      <c r="F495">
        <v>45100</v>
      </c>
      <c r="G495">
        <v>2370</v>
      </c>
      <c r="H495">
        <f t="shared" si="7"/>
        <v>2469.2617449664426</v>
      </c>
    </row>
    <row r="496" spans="3:8" x14ac:dyDescent="0.25">
      <c r="C496">
        <v>50201</v>
      </c>
      <c r="D496">
        <v>50300</v>
      </c>
      <c r="E496">
        <v>1.9463087248322099E-2</v>
      </c>
      <c r="F496">
        <v>45100</v>
      </c>
      <c r="G496">
        <v>2370</v>
      </c>
      <c r="H496">
        <f t="shared" si="7"/>
        <v>2471.2080536912749</v>
      </c>
    </row>
    <row r="497" spans="3:8" x14ac:dyDescent="0.25">
      <c r="C497">
        <v>50301</v>
      </c>
      <c r="D497">
        <v>50400</v>
      </c>
      <c r="E497">
        <v>1.9463087248322099E-2</v>
      </c>
      <c r="F497">
        <v>45100</v>
      </c>
      <c r="G497">
        <v>2370</v>
      </c>
      <c r="H497">
        <f t="shared" si="7"/>
        <v>2473.1543624161072</v>
      </c>
    </row>
    <row r="498" spans="3:8" x14ac:dyDescent="0.25">
      <c r="C498">
        <v>50401</v>
      </c>
      <c r="D498">
        <v>50500</v>
      </c>
      <c r="E498">
        <v>1.9463087248322099E-2</v>
      </c>
      <c r="F498">
        <v>45100</v>
      </c>
      <c r="G498">
        <v>2370</v>
      </c>
      <c r="H498">
        <f t="shared" si="7"/>
        <v>2475.1006711409395</v>
      </c>
    </row>
    <row r="499" spans="3:8" x14ac:dyDescent="0.25">
      <c r="C499">
        <v>50501</v>
      </c>
      <c r="D499">
        <v>50600</v>
      </c>
      <c r="E499">
        <v>1.9463087248322099E-2</v>
      </c>
      <c r="F499">
        <v>45100</v>
      </c>
      <c r="G499">
        <v>2370</v>
      </c>
      <c r="H499">
        <f t="shared" si="7"/>
        <v>2477.0469798657714</v>
      </c>
    </row>
    <row r="500" spans="3:8" x14ac:dyDescent="0.25">
      <c r="C500">
        <v>50601</v>
      </c>
      <c r="D500">
        <v>50700</v>
      </c>
      <c r="E500">
        <v>1.9463087248322099E-2</v>
      </c>
      <c r="F500">
        <v>45100</v>
      </c>
      <c r="G500">
        <v>2370</v>
      </c>
      <c r="H500">
        <f t="shared" si="7"/>
        <v>2478.9932885906037</v>
      </c>
    </row>
    <row r="501" spans="3:8" x14ac:dyDescent="0.25">
      <c r="C501">
        <v>50701</v>
      </c>
      <c r="D501">
        <v>50800</v>
      </c>
      <c r="E501">
        <v>1.9463087248322099E-2</v>
      </c>
      <c r="F501">
        <v>45100</v>
      </c>
      <c r="G501">
        <v>2370</v>
      </c>
      <c r="H501">
        <f t="shared" si="7"/>
        <v>2480.939597315436</v>
      </c>
    </row>
    <row r="502" spans="3:8" x14ac:dyDescent="0.25">
      <c r="C502">
        <v>50801</v>
      </c>
      <c r="D502">
        <v>50900</v>
      </c>
      <c r="E502">
        <v>1.9463087248322099E-2</v>
      </c>
      <c r="F502">
        <v>45100</v>
      </c>
      <c r="G502">
        <v>2370</v>
      </c>
      <c r="H502">
        <f t="shared" si="7"/>
        <v>2482.8859060402683</v>
      </c>
    </row>
    <row r="503" spans="3:8" x14ac:dyDescent="0.25">
      <c r="C503">
        <v>50901</v>
      </c>
      <c r="D503">
        <v>51000</v>
      </c>
      <c r="E503">
        <v>1.9463087248322099E-2</v>
      </c>
      <c r="F503">
        <v>45100</v>
      </c>
      <c r="G503">
        <v>2370</v>
      </c>
      <c r="H503">
        <f t="shared" si="7"/>
        <v>2484.8322147651006</v>
      </c>
    </row>
    <row r="504" spans="3:8" x14ac:dyDescent="0.25">
      <c r="C504">
        <v>51001</v>
      </c>
      <c r="D504">
        <v>51100</v>
      </c>
      <c r="E504">
        <v>1.9463087248322099E-2</v>
      </c>
      <c r="F504">
        <v>45100</v>
      </c>
      <c r="G504">
        <v>2370</v>
      </c>
      <c r="H504">
        <f t="shared" si="7"/>
        <v>2486.7785234899325</v>
      </c>
    </row>
    <row r="505" spans="3:8" x14ac:dyDescent="0.25">
      <c r="C505">
        <v>51101</v>
      </c>
      <c r="D505">
        <v>51200</v>
      </c>
      <c r="E505">
        <v>1.9463087248322099E-2</v>
      </c>
      <c r="F505">
        <v>45100</v>
      </c>
      <c r="G505">
        <v>2370</v>
      </c>
      <c r="H505">
        <f t="shared" si="7"/>
        <v>2488.7248322147648</v>
      </c>
    </row>
    <row r="506" spans="3:8" x14ac:dyDescent="0.25">
      <c r="C506">
        <v>51201</v>
      </c>
      <c r="D506">
        <v>51300</v>
      </c>
      <c r="E506">
        <v>1.9463087248322099E-2</v>
      </c>
      <c r="F506">
        <v>45100</v>
      </c>
      <c r="G506">
        <v>2370</v>
      </c>
      <c r="H506">
        <f t="shared" si="7"/>
        <v>2490.6711409395971</v>
      </c>
    </row>
    <row r="507" spans="3:8" x14ac:dyDescent="0.25">
      <c r="C507">
        <v>51301</v>
      </c>
      <c r="D507">
        <v>51400</v>
      </c>
      <c r="E507">
        <v>1.9463087248322099E-2</v>
      </c>
      <c r="F507">
        <v>45100</v>
      </c>
      <c r="G507">
        <v>2370</v>
      </c>
      <c r="H507">
        <f t="shared" si="7"/>
        <v>2492.6174496644294</v>
      </c>
    </row>
    <row r="508" spans="3:8" x14ac:dyDescent="0.25">
      <c r="C508">
        <v>51401</v>
      </c>
      <c r="D508">
        <v>51500</v>
      </c>
      <c r="E508">
        <v>1.9463087248322099E-2</v>
      </c>
      <c r="F508">
        <v>45100</v>
      </c>
      <c r="G508">
        <v>2370</v>
      </c>
      <c r="H508">
        <f t="shared" si="7"/>
        <v>2494.5637583892612</v>
      </c>
    </row>
    <row r="509" spans="3:8" x14ac:dyDescent="0.25">
      <c r="C509">
        <v>51501</v>
      </c>
      <c r="D509">
        <v>51600</v>
      </c>
      <c r="E509">
        <v>1.9463087248322099E-2</v>
      </c>
      <c r="F509">
        <v>45100</v>
      </c>
      <c r="G509">
        <v>2370</v>
      </c>
      <c r="H509">
        <f t="shared" si="7"/>
        <v>2496.5100671140935</v>
      </c>
    </row>
    <row r="510" spans="3:8" x14ac:dyDescent="0.25">
      <c r="C510">
        <v>51601</v>
      </c>
      <c r="D510">
        <v>51700</v>
      </c>
      <c r="E510">
        <v>1.9463087248322099E-2</v>
      </c>
      <c r="F510">
        <v>45100</v>
      </c>
      <c r="G510">
        <v>2370</v>
      </c>
      <c r="H510">
        <f t="shared" si="7"/>
        <v>2498.4563758389259</v>
      </c>
    </row>
    <row r="511" spans="3:8" x14ac:dyDescent="0.25">
      <c r="C511">
        <v>51701</v>
      </c>
      <c r="D511">
        <v>51800</v>
      </c>
      <c r="E511">
        <v>1.9463087248322099E-2</v>
      </c>
      <c r="F511">
        <v>45100</v>
      </c>
      <c r="G511">
        <v>2370</v>
      </c>
      <c r="H511">
        <f t="shared" si="7"/>
        <v>2500.4026845637582</v>
      </c>
    </row>
    <row r="512" spans="3:8" x14ac:dyDescent="0.25">
      <c r="C512">
        <v>51801</v>
      </c>
      <c r="D512">
        <v>51900</v>
      </c>
      <c r="E512">
        <v>1.9463087248322099E-2</v>
      </c>
      <c r="F512">
        <v>45100</v>
      </c>
      <c r="G512">
        <v>2370</v>
      </c>
      <c r="H512">
        <f t="shared" si="7"/>
        <v>2502.3489932885905</v>
      </c>
    </row>
    <row r="513" spans="3:8" x14ac:dyDescent="0.25">
      <c r="C513">
        <v>51901</v>
      </c>
      <c r="D513">
        <v>52000</v>
      </c>
      <c r="E513">
        <v>1.9463087248322099E-2</v>
      </c>
      <c r="F513">
        <v>45100</v>
      </c>
      <c r="G513">
        <v>2370</v>
      </c>
      <c r="H513">
        <f t="shared" si="7"/>
        <v>2504.2953020134223</v>
      </c>
    </row>
    <row r="514" spans="3:8" x14ac:dyDescent="0.25">
      <c r="C514">
        <v>52001</v>
      </c>
      <c r="D514">
        <v>52100</v>
      </c>
      <c r="E514">
        <v>1.9463087248322099E-2</v>
      </c>
      <c r="F514">
        <v>45100</v>
      </c>
      <c r="G514">
        <v>2370</v>
      </c>
      <c r="H514">
        <f t="shared" si="7"/>
        <v>2506.2416107382546</v>
      </c>
    </row>
    <row r="515" spans="3:8" x14ac:dyDescent="0.25">
      <c r="C515">
        <v>52101</v>
      </c>
      <c r="D515">
        <v>52200</v>
      </c>
      <c r="E515">
        <v>1.9463087248322099E-2</v>
      </c>
      <c r="F515">
        <v>45100</v>
      </c>
      <c r="G515">
        <v>2370</v>
      </c>
      <c r="H515">
        <f t="shared" si="7"/>
        <v>2508.1879194630869</v>
      </c>
    </row>
    <row r="516" spans="3:8" x14ac:dyDescent="0.25">
      <c r="C516">
        <v>52201</v>
      </c>
      <c r="D516">
        <v>52300</v>
      </c>
      <c r="E516">
        <v>1.9463087248322099E-2</v>
      </c>
      <c r="F516">
        <v>45100</v>
      </c>
      <c r="G516">
        <v>2370</v>
      </c>
      <c r="H516">
        <f t="shared" ref="H516:H579" si="8">G516+(D516-F516)*E516</f>
        <v>2510.1342281879192</v>
      </c>
    </row>
    <row r="517" spans="3:8" x14ac:dyDescent="0.25">
      <c r="C517">
        <v>52301</v>
      </c>
      <c r="D517">
        <v>52400</v>
      </c>
      <c r="E517">
        <v>1.9463087248322099E-2</v>
      </c>
      <c r="F517">
        <v>45100</v>
      </c>
      <c r="G517">
        <v>2370</v>
      </c>
      <c r="H517">
        <f t="shared" si="8"/>
        <v>2512.0805369127511</v>
      </c>
    </row>
    <row r="518" spans="3:8" x14ac:dyDescent="0.25">
      <c r="C518">
        <v>52401</v>
      </c>
      <c r="D518">
        <v>52500</v>
      </c>
      <c r="E518">
        <v>1.9463087248322099E-2</v>
      </c>
      <c r="F518">
        <v>45100</v>
      </c>
      <c r="G518">
        <v>2370</v>
      </c>
      <c r="H518">
        <f t="shared" si="8"/>
        <v>2514.0268456375834</v>
      </c>
    </row>
    <row r="519" spans="3:8" x14ac:dyDescent="0.25">
      <c r="C519">
        <v>52501</v>
      </c>
      <c r="D519">
        <v>52600</v>
      </c>
      <c r="E519">
        <v>1.9463087248322099E-2</v>
      </c>
      <c r="F519">
        <v>45100</v>
      </c>
      <c r="G519">
        <v>2370</v>
      </c>
      <c r="H519">
        <f t="shared" si="8"/>
        <v>2515.9731543624157</v>
      </c>
    </row>
    <row r="520" spans="3:8" x14ac:dyDescent="0.25">
      <c r="C520">
        <v>52601</v>
      </c>
      <c r="D520">
        <v>52700</v>
      </c>
      <c r="E520">
        <v>1.9463087248322099E-2</v>
      </c>
      <c r="F520">
        <v>45100</v>
      </c>
      <c r="G520">
        <v>2370</v>
      </c>
      <c r="H520">
        <f t="shared" si="8"/>
        <v>2517.919463087248</v>
      </c>
    </row>
    <row r="521" spans="3:8" x14ac:dyDescent="0.25">
      <c r="C521">
        <v>52701</v>
      </c>
      <c r="D521">
        <v>52800</v>
      </c>
      <c r="E521">
        <v>1.9463087248322099E-2</v>
      </c>
      <c r="F521">
        <v>45100</v>
      </c>
      <c r="G521">
        <v>2370</v>
      </c>
      <c r="H521">
        <f t="shared" si="8"/>
        <v>2519.8657718120803</v>
      </c>
    </row>
    <row r="522" spans="3:8" x14ac:dyDescent="0.25">
      <c r="C522">
        <v>52801</v>
      </c>
      <c r="D522">
        <v>52900</v>
      </c>
      <c r="E522">
        <v>1.9463087248322099E-2</v>
      </c>
      <c r="F522">
        <v>45100</v>
      </c>
      <c r="G522">
        <v>2370</v>
      </c>
      <c r="H522">
        <f t="shared" si="8"/>
        <v>2521.8120805369122</v>
      </c>
    </row>
    <row r="523" spans="3:8" x14ac:dyDescent="0.25">
      <c r="C523">
        <v>52901</v>
      </c>
      <c r="D523">
        <v>53000</v>
      </c>
      <c r="E523">
        <v>1.9463087248322099E-2</v>
      </c>
      <c r="F523">
        <v>45100</v>
      </c>
      <c r="G523">
        <v>2370</v>
      </c>
      <c r="H523">
        <f t="shared" si="8"/>
        <v>2523.7583892617445</v>
      </c>
    </row>
    <row r="524" spans="3:8" x14ac:dyDescent="0.25">
      <c r="C524">
        <v>53001</v>
      </c>
      <c r="D524">
        <v>53100</v>
      </c>
      <c r="E524">
        <v>1.9463087248322099E-2</v>
      </c>
      <c r="F524">
        <v>45100</v>
      </c>
      <c r="G524">
        <v>2370</v>
      </c>
      <c r="H524">
        <f t="shared" si="8"/>
        <v>2525.7046979865768</v>
      </c>
    </row>
    <row r="525" spans="3:8" x14ac:dyDescent="0.25">
      <c r="C525">
        <v>53101</v>
      </c>
      <c r="D525">
        <v>53200</v>
      </c>
      <c r="E525">
        <v>1.9463087248322099E-2</v>
      </c>
      <c r="F525">
        <v>45100</v>
      </c>
      <c r="G525">
        <v>2370</v>
      </c>
      <c r="H525">
        <f t="shared" si="8"/>
        <v>2527.6510067114091</v>
      </c>
    </row>
    <row r="526" spans="3:8" x14ac:dyDescent="0.25">
      <c r="C526">
        <v>53201</v>
      </c>
      <c r="D526">
        <v>53300</v>
      </c>
      <c r="E526">
        <v>1.9463087248322099E-2</v>
      </c>
      <c r="F526">
        <v>45100</v>
      </c>
      <c r="G526">
        <v>2370</v>
      </c>
      <c r="H526">
        <f t="shared" si="8"/>
        <v>2529.5973154362414</v>
      </c>
    </row>
    <row r="527" spans="3:8" x14ac:dyDescent="0.25">
      <c r="C527">
        <v>53301</v>
      </c>
      <c r="D527">
        <v>53400</v>
      </c>
      <c r="E527">
        <v>1.9463087248322099E-2</v>
      </c>
      <c r="F527">
        <v>45100</v>
      </c>
      <c r="G527">
        <v>2370</v>
      </c>
      <c r="H527">
        <f t="shared" si="8"/>
        <v>2531.5436241610732</v>
      </c>
    </row>
    <row r="528" spans="3:8" x14ac:dyDescent="0.25">
      <c r="C528">
        <v>53401</v>
      </c>
      <c r="D528">
        <v>53500</v>
      </c>
      <c r="E528">
        <v>1.9463087248322099E-2</v>
      </c>
      <c r="F528">
        <v>45100</v>
      </c>
      <c r="G528">
        <v>2370</v>
      </c>
      <c r="H528">
        <f t="shared" si="8"/>
        <v>2533.4899328859055</v>
      </c>
    </row>
    <row r="529" spans="3:8" x14ac:dyDescent="0.25">
      <c r="C529">
        <v>53501</v>
      </c>
      <c r="D529">
        <v>53600</v>
      </c>
      <c r="E529">
        <v>1.9463087248322099E-2</v>
      </c>
      <c r="F529">
        <v>45100</v>
      </c>
      <c r="G529">
        <v>2370</v>
      </c>
      <c r="H529">
        <f t="shared" si="8"/>
        <v>2535.4362416107379</v>
      </c>
    </row>
    <row r="530" spans="3:8" x14ac:dyDescent="0.25">
      <c r="C530">
        <v>53601</v>
      </c>
      <c r="D530">
        <v>53700</v>
      </c>
      <c r="E530">
        <v>1.9463087248322099E-2</v>
      </c>
      <c r="F530">
        <v>45100</v>
      </c>
      <c r="G530">
        <v>2370</v>
      </c>
      <c r="H530">
        <f t="shared" si="8"/>
        <v>2537.3825503355702</v>
      </c>
    </row>
    <row r="531" spans="3:8" x14ac:dyDescent="0.25">
      <c r="C531">
        <v>53701</v>
      </c>
      <c r="D531">
        <v>53800</v>
      </c>
      <c r="E531">
        <v>1.9463087248322099E-2</v>
      </c>
      <c r="F531">
        <v>45100</v>
      </c>
      <c r="G531">
        <v>2370</v>
      </c>
      <c r="H531">
        <f t="shared" si="8"/>
        <v>2539.3288590604025</v>
      </c>
    </row>
    <row r="532" spans="3:8" x14ac:dyDescent="0.25">
      <c r="C532">
        <v>53801</v>
      </c>
      <c r="D532">
        <v>53900</v>
      </c>
      <c r="E532">
        <v>1.9463087248322099E-2</v>
      </c>
      <c r="F532">
        <v>45100</v>
      </c>
      <c r="G532">
        <v>2370</v>
      </c>
      <c r="H532">
        <f t="shared" si="8"/>
        <v>2541.2751677852343</v>
      </c>
    </row>
    <row r="533" spans="3:8" x14ac:dyDescent="0.25">
      <c r="C533">
        <v>53901</v>
      </c>
      <c r="D533">
        <v>54000</v>
      </c>
      <c r="E533">
        <v>1.9463087248322099E-2</v>
      </c>
      <c r="F533">
        <v>45100</v>
      </c>
      <c r="G533">
        <v>2370</v>
      </c>
      <c r="H533">
        <f t="shared" si="8"/>
        <v>2543.2214765100666</v>
      </c>
    </row>
    <row r="534" spans="3:8" x14ac:dyDescent="0.25">
      <c r="C534">
        <v>54001</v>
      </c>
      <c r="D534">
        <v>54100</v>
      </c>
      <c r="E534">
        <v>1.9463087248322099E-2</v>
      </c>
      <c r="F534">
        <v>45100</v>
      </c>
      <c r="G534">
        <v>2370</v>
      </c>
      <c r="H534">
        <f t="shared" si="8"/>
        <v>2545.1677852348989</v>
      </c>
    </row>
    <row r="535" spans="3:8" x14ac:dyDescent="0.25">
      <c r="C535">
        <v>54101</v>
      </c>
      <c r="D535">
        <v>54200</v>
      </c>
      <c r="E535">
        <v>1.9463087248322099E-2</v>
      </c>
      <c r="F535">
        <v>45100</v>
      </c>
      <c r="G535">
        <v>2370</v>
      </c>
      <c r="H535">
        <f t="shared" si="8"/>
        <v>2547.1140939597312</v>
      </c>
    </row>
    <row r="536" spans="3:8" x14ac:dyDescent="0.25">
      <c r="C536">
        <v>54201</v>
      </c>
      <c r="D536">
        <v>54300</v>
      </c>
      <c r="E536">
        <v>1.9463087248322099E-2</v>
      </c>
      <c r="F536">
        <v>45100</v>
      </c>
      <c r="G536">
        <v>2370</v>
      </c>
      <c r="H536">
        <f t="shared" si="8"/>
        <v>2549.0604026845631</v>
      </c>
    </row>
    <row r="537" spans="3:8" x14ac:dyDescent="0.25">
      <c r="C537">
        <v>54301</v>
      </c>
      <c r="D537">
        <v>54400</v>
      </c>
      <c r="E537">
        <v>1.9463087248322099E-2</v>
      </c>
      <c r="F537">
        <v>45100</v>
      </c>
      <c r="G537">
        <v>2370</v>
      </c>
      <c r="H537">
        <f t="shared" si="8"/>
        <v>2551.0067114093954</v>
      </c>
    </row>
    <row r="538" spans="3:8" x14ac:dyDescent="0.25">
      <c r="C538">
        <v>54401</v>
      </c>
      <c r="D538">
        <v>54500</v>
      </c>
      <c r="E538">
        <v>1.9463087248322099E-2</v>
      </c>
      <c r="F538">
        <v>45100</v>
      </c>
      <c r="G538">
        <v>2370</v>
      </c>
      <c r="H538">
        <f t="shared" si="8"/>
        <v>2552.9530201342277</v>
      </c>
    </row>
    <row r="539" spans="3:8" x14ac:dyDescent="0.25">
      <c r="C539">
        <v>54501</v>
      </c>
      <c r="D539">
        <v>54600</v>
      </c>
      <c r="E539">
        <v>1.9463087248322099E-2</v>
      </c>
      <c r="F539">
        <v>45100</v>
      </c>
      <c r="G539">
        <v>2370</v>
      </c>
      <c r="H539">
        <f t="shared" si="8"/>
        <v>2554.89932885906</v>
      </c>
    </row>
    <row r="540" spans="3:8" x14ac:dyDescent="0.25">
      <c r="C540">
        <v>54601</v>
      </c>
      <c r="D540">
        <v>54700</v>
      </c>
      <c r="E540">
        <v>1.9463087248322099E-2</v>
      </c>
      <c r="F540">
        <v>45100</v>
      </c>
      <c r="G540">
        <v>2370</v>
      </c>
      <c r="H540">
        <f t="shared" si="8"/>
        <v>2556.8456375838923</v>
      </c>
    </row>
    <row r="541" spans="3:8" x14ac:dyDescent="0.25">
      <c r="C541">
        <v>54701</v>
      </c>
      <c r="D541">
        <v>54800</v>
      </c>
      <c r="E541">
        <v>1.9463087248322099E-2</v>
      </c>
      <c r="F541">
        <v>45100</v>
      </c>
      <c r="G541">
        <v>2370</v>
      </c>
      <c r="H541">
        <f t="shared" si="8"/>
        <v>2558.7919463087242</v>
      </c>
    </row>
    <row r="542" spans="3:8" x14ac:dyDescent="0.25">
      <c r="C542">
        <v>54801</v>
      </c>
      <c r="D542">
        <v>54900</v>
      </c>
      <c r="E542">
        <v>1.9463087248322099E-2</v>
      </c>
      <c r="F542">
        <v>45100</v>
      </c>
      <c r="G542">
        <v>2370</v>
      </c>
      <c r="H542">
        <f t="shared" si="8"/>
        <v>2560.7382550335565</v>
      </c>
    </row>
    <row r="543" spans="3:8" x14ac:dyDescent="0.25">
      <c r="C543">
        <v>54901</v>
      </c>
      <c r="D543">
        <v>55000</v>
      </c>
      <c r="E543">
        <v>1.9463087248322099E-2</v>
      </c>
      <c r="F543">
        <v>45100</v>
      </c>
      <c r="G543">
        <v>2370</v>
      </c>
      <c r="H543">
        <f t="shared" si="8"/>
        <v>2562.6845637583888</v>
      </c>
    </row>
    <row r="544" spans="3:8" x14ac:dyDescent="0.25">
      <c r="C544">
        <v>55001</v>
      </c>
      <c r="D544">
        <v>55100</v>
      </c>
      <c r="E544">
        <v>1.9463087248322099E-2</v>
      </c>
      <c r="F544">
        <v>45100</v>
      </c>
      <c r="G544">
        <v>2370</v>
      </c>
      <c r="H544">
        <f t="shared" si="8"/>
        <v>2564.6308724832211</v>
      </c>
    </row>
    <row r="545" spans="3:8" x14ac:dyDescent="0.25">
      <c r="C545">
        <v>55101</v>
      </c>
      <c r="D545">
        <v>55200</v>
      </c>
      <c r="E545">
        <v>1.9463087248322099E-2</v>
      </c>
      <c r="F545">
        <v>45100</v>
      </c>
      <c r="G545">
        <v>2370</v>
      </c>
      <c r="H545">
        <f t="shared" si="8"/>
        <v>2566.5771812080534</v>
      </c>
    </row>
    <row r="546" spans="3:8" x14ac:dyDescent="0.25">
      <c r="C546">
        <v>55201</v>
      </c>
      <c r="D546">
        <v>55300</v>
      </c>
      <c r="E546">
        <v>1.9463087248322099E-2</v>
      </c>
      <c r="F546">
        <v>45100</v>
      </c>
      <c r="G546">
        <v>2370</v>
      </c>
      <c r="H546">
        <f t="shared" si="8"/>
        <v>2568.5234899328852</v>
      </c>
    </row>
    <row r="547" spans="3:8" x14ac:dyDescent="0.25">
      <c r="C547">
        <v>55301</v>
      </c>
      <c r="D547">
        <v>55400</v>
      </c>
      <c r="E547">
        <v>1.9463087248322099E-2</v>
      </c>
      <c r="F547">
        <v>45100</v>
      </c>
      <c r="G547">
        <v>2370</v>
      </c>
      <c r="H547">
        <f t="shared" si="8"/>
        <v>2570.4697986577175</v>
      </c>
    </row>
    <row r="548" spans="3:8" x14ac:dyDescent="0.25">
      <c r="C548">
        <v>55401</v>
      </c>
      <c r="D548">
        <v>55500</v>
      </c>
      <c r="E548">
        <v>1.9463087248322099E-2</v>
      </c>
      <c r="F548">
        <v>45100</v>
      </c>
      <c r="G548">
        <v>2370</v>
      </c>
      <c r="H548">
        <f t="shared" si="8"/>
        <v>2572.4161073825499</v>
      </c>
    </row>
    <row r="549" spans="3:8" x14ac:dyDescent="0.25">
      <c r="C549">
        <v>55501</v>
      </c>
      <c r="D549">
        <v>55600</v>
      </c>
      <c r="E549">
        <v>1.9463087248322099E-2</v>
      </c>
      <c r="F549">
        <v>45100</v>
      </c>
      <c r="G549">
        <v>2370</v>
      </c>
      <c r="H549">
        <f t="shared" si="8"/>
        <v>2574.3624161073822</v>
      </c>
    </row>
    <row r="550" spans="3:8" x14ac:dyDescent="0.25">
      <c r="C550">
        <v>55601</v>
      </c>
      <c r="D550">
        <v>55700</v>
      </c>
      <c r="E550">
        <v>1.9463087248322099E-2</v>
      </c>
      <c r="F550">
        <v>45100</v>
      </c>
      <c r="G550">
        <v>2370</v>
      </c>
      <c r="H550">
        <f t="shared" si="8"/>
        <v>2576.3087248322145</v>
      </c>
    </row>
    <row r="551" spans="3:8" x14ac:dyDescent="0.25">
      <c r="C551">
        <v>55701</v>
      </c>
      <c r="D551">
        <v>55800</v>
      </c>
      <c r="E551">
        <v>1.9463087248322099E-2</v>
      </c>
      <c r="F551">
        <v>45100</v>
      </c>
      <c r="G551">
        <v>2370</v>
      </c>
      <c r="H551">
        <f t="shared" si="8"/>
        <v>2578.2550335570463</v>
      </c>
    </row>
    <row r="552" spans="3:8" x14ac:dyDescent="0.25">
      <c r="C552">
        <v>55801</v>
      </c>
      <c r="D552">
        <v>55900</v>
      </c>
      <c r="E552">
        <v>1.9463087248322099E-2</v>
      </c>
      <c r="F552">
        <v>45100</v>
      </c>
      <c r="G552">
        <v>2370</v>
      </c>
      <c r="H552">
        <f t="shared" si="8"/>
        <v>2580.2013422818786</v>
      </c>
    </row>
    <row r="553" spans="3:8" x14ac:dyDescent="0.25">
      <c r="C553">
        <v>55901</v>
      </c>
      <c r="D553">
        <v>56000</v>
      </c>
      <c r="E553">
        <v>1.9463087248322099E-2</v>
      </c>
      <c r="F553">
        <v>45100</v>
      </c>
      <c r="G553">
        <v>2370</v>
      </c>
      <c r="H553">
        <f t="shared" si="8"/>
        <v>2582.1476510067109</v>
      </c>
    </row>
    <row r="554" spans="3:8" x14ac:dyDescent="0.25">
      <c r="C554">
        <v>56001</v>
      </c>
      <c r="D554">
        <v>56100</v>
      </c>
      <c r="E554">
        <v>1.9463087248322099E-2</v>
      </c>
      <c r="F554">
        <v>45100</v>
      </c>
      <c r="G554">
        <v>2370</v>
      </c>
      <c r="H554">
        <f t="shared" si="8"/>
        <v>2584.0939597315432</v>
      </c>
    </row>
    <row r="555" spans="3:8" x14ac:dyDescent="0.25">
      <c r="C555">
        <v>56101</v>
      </c>
      <c r="D555">
        <v>56200</v>
      </c>
      <c r="E555">
        <v>1.9463087248322099E-2</v>
      </c>
      <c r="F555">
        <v>45100</v>
      </c>
      <c r="G555">
        <v>2370</v>
      </c>
      <c r="H555">
        <f t="shared" si="8"/>
        <v>2586.0402684563751</v>
      </c>
    </row>
    <row r="556" spans="3:8" x14ac:dyDescent="0.25">
      <c r="C556">
        <v>56201</v>
      </c>
      <c r="D556">
        <v>56300</v>
      </c>
      <c r="E556">
        <v>1.9463087248322099E-2</v>
      </c>
      <c r="F556">
        <v>45100</v>
      </c>
      <c r="G556">
        <v>2370</v>
      </c>
      <c r="H556">
        <f t="shared" si="8"/>
        <v>2587.9865771812074</v>
      </c>
    </row>
    <row r="557" spans="3:8" x14ac:dyDescent="0.25">
      <c r="C557">
        <v>56301</v>
      </c>
      <c r="D557">
        <v>56400</v>
      </c>
      <c r="E557">
        <v>1.9463087248322099E-2</v>
      </c>
      <c r="F557">
        <v>45100</v>
      </c>
      <c r="G557">
        <v>2370</v>
      </c>
      <c r="H557">
        <f t="shared" si="8"/>
        <v>2589.9328859060397</v>
      </c>
    </row>
    <row r="558" spans="3:8" x14ac:dyDescent="0.25">
      <c r="C558">
        <v>56401</v>
      </c>
      <c r="D558">
        <v>56500</v>
      </c>
      <c r="E558">
        <v>1.9463087248322099E-2</v>
      </c>
      <c r="F558">
        <v>45100</v>
      </c>
      <c r="G558">
        <v>2370</v>
      </c>
      <c r="H558">
        <f t="shared" si="8"/>
        <v>2591.879194630872</v>
      </c>
    </row>
    <row r="559" spans="3:8" x14ac:dyDescent="0.25">
      <c r="C559">
        <v>56501</v>
      </c>
      <c r="D559">
        <v>56600</v>
      </c>
      <c r="E559">
        <v>1.9463087248322099E-2</v>
      </c>
      <c r="F559">
        <v>45100</v>
      </c>
      <c r="G559">
        <v>2370</v>
      </c>
      <c r="H559">
        <f t="shared" si="8"/>
        <v>2593.8255033557043</v>
      </c>
    </row>
    <row r="560" spans="3:8" x14ac:dyDescent="0.25">
      <c r="C560">
        <v>56601</v>
      </c>
      <c r="D560">
        <v>56700</v>
      </c>
      <c r="E560">
        <v>1.9463087248322099E-2</v>
      </c>
      <c r="F560">
        <v>45100</v>
      </c>
      <c r="G560">
        <v>2370</v>
      </c>
      <c r="H560">
        <f t="shared" si="8"/>
        <v>2595.7718120805362</v>
      </c>
    </row>
    <row r="561" spans="3:8" x14ac:dyDescent="0.25">
      <c r="C561">
        <v>56701</v>
      </c>
      <c r="D561">
        <v>56800</v>
      </c>
      <c r="E561">
        <v>1.9463087248322099E-2</v>
      </c>
      <c r="F561">
        <v>45100</v>
      </c>
      <c r="G561">
        <v>2370</v>
      </c>
      <c r="H561">
        <f t="shared" si="8"/>
        <v>2597.7181208053685</v>
      </c>
    </row>
    <row r="562" spans="3:8" x14ac:dyDescent="0.25">
      <c r="C562">
        <v>56801</v>
      </c>
      <c r="D562">
        <v>56900</v>
      </c>
      <c r="E562">
        <v>1.9463087248322099E-2</v>
      </c>
      <c r="F562">
        <v>45100</v>
      </c>
      <c r="G562">
        <v>2370</v>
      </c>
      <c r="H562">
        <f t="shared" si="8"/>
        <v>2599.6644295302008</v>
      </c>
    </row>
    <row r="563" spans="3:8" x14ac:dyDescent="0.25">
      <c r="C563">
        <v>56901</v>
      </c>
      <c r="D563">
        <v>57000</v>
      </c>
      <c r="E563">
        <v>1.9463087248322099E-2</v>
      </c>
      <c r="F563">
        <v>45100</v>
      </c>
      <c r="G563">
        <v>2370</v>
      </c>
      <c r="H563">
        <f t="shared" si="8"/>
        <v>2601.6107382550331</v>
      </c>
    </row>
    <row r="564" spans="3:8" x14ac:dyDescent="0.25">
      <c r="C564">
        <v>57001</v>
      </c>
      <c r="D564">
        <v>57100</v>
      </c>
      <c r="E564">
        <v>1.9463087248322099E-2</v>
      </c>
      <c r="F564">
        <v>45100</v>
      </c>
      <c r="G564">
        <v>2370</v>
      </c>
      <c r="H564">
        <f t="shared" si="8"/>
        <v>2603.5570469798654</v>
      </c>
    </row>
    <row r="565" spans="3:8" x14ac:dyDescent="0.25">
      <c r="C565">
        <v>57101</v>
      </c>
      <c r="D565">
        <v>57200</v>
      </c>
      <c r="E565">
        <v>1.9463087248322099E-2</v>
      </c>
      <c r="F565">
        <v>45100</v>
      </c>
      <c r="G565">
        <v>2370</v>
      </c>
      <c r="H565">
        <f t="shared" si="8"/>
        <v>2605.5033557046972</v>
      </c>
    </row>
    <row r="566" spans="3:8" x14ac:dyDescent="0.25">
      <c r="C566">
        <v>57201</v>
      </c>
      <c r="D566">
        <v>57300</v>
      </c>
      <c r="E566">
        <v>1.9463087248322099E-2</v>
      </c>
      <c r="F566">
        <v>45100</v>
      </c>
      <c r="G566">
        <v>2370</v>
      </c>
      <c r="H566">
        <f t="shared" si="8"/>
        <v>2607.4496644295295</v>
      </c>
    </row>
    <row r="567" spans="3:8" x14ac:dyDescent="0.25">
      <c r="C567">
        <v>57301</v>
      </c>
      <c r="D567">
        <v>57400</v>
      </c>
      <c r="E567">
        <v>1.9463087248322099E-2</v>
      </c>
      <c r="F567">
        <v>45100</v>
      </c>
      <c r="G567">
        <v>2370</v>
      </c>
      <c r="H567">
        <f t="shared" si="8"/>
        <v>2609.3959731543619</v>
      </c>
    </row>
    <row r="568" spans="3:8" x14ac:dyDescent="0.25">
      <c r="C568">
        <v>57401</v>
      </c>
      <c r="D568">
        <v>57500</v>
      </c>
      <c r="E568">
        <v>1.9463087248322099E-2</v>
      </c>
      <c r="F568">
        <v>45100</v>
      </c>
      <c r="G568">
        <v>2370</v>
      </c>
      <c r="H568">
        <f t="shared" si="8"/>
        <v>2611.3422818791942</v>
      </c>
    </row>
    <row r="569" spans="3:8" x14ac:dyDescent="0.25">
      <c r="C569">
        <v>57501</v>
      </c>
      <c r="D569">
        <v>57600</v>
      </c>
      <c r="E569">
        <v>1.9463087248322099E-2</v>
      </c>
      <c r="F569">
        <v>45100</v>
      </c>
      <c r="G569">
        <v>2370</v>
      </c>
      <c r="H569">
        <f t="shared" si="8"/>
        <v>2613.2885906040265</v>
      </c>
    </row>
    <row r="570" spans="3:8" x14ac:dyDescent="0.25">
      <c r="C570">
        <v>57601</v>
      </c>
      <c r="D570">
        <v>57700</v>
      </c>
      <c r="E570">
        <v>1.9463087248322099E-2</v>
      </c>
      <c r="F570">
        <v>45100</v>
      </c>
      <c r="G570">
        <v>2370</v>
      </c>
      <c r="H570">
        <f t="shared" si="8"/>
        <v>2615.2348993288583</v>
      </c>
    </row>
    <row r="571" spans="3:8" x14ac:dyDescent="0.25">
      <c r="C571">
        <v>57701</v>
      </c>
      <c r="D571">
        <v>57800</v>
      </c>
      <c r="E571">
        <v>1.9463087248322099E-2</v>
      </c>
      <c r="F571">
        <v>45100</v>
      </c>
      <c r="G571">
        <v>2370</v>
      </c>
      <c r="H571">
        <f t="shared" si="8"/>
        <v>2617.1812080536906</v>
      </c>
    </row>
    <row r="572" spans="3:8" x14ac:dyDescent="0.25">
      <c r="C572">
        <v>57801</v>
      </c>
      <c r="D572">
        <v>57900</v>
      </c>
      <c r="E572">
        <v>1.9463087248322099E-2</v>
      </c>
      <c r="F572">
        <v>45100</v>
      </c>
      <c r="G572">
        <v>2370</v>
      </c>
      <c r="H572">
        <f t="shared" si="8"/>
        <v>2619.1275167785229</v>
      </c>
    </row>
    <row r="573" spans="3:8" x14ac:dyDescent="0.25">
      <c r="C573">
        <v>57901</v>
      </c>
      <c r="D573">
        <v>58000</v>
      </c>
      <c r="E573">
        <v>1.9463087248322099E-2</v>
      </c>
      <c r="F573">
        <v>45100</v>
      </c>
      <c r="G573">
        <v>2370</v>
      </c>
      <c r="H573">
        <f t="shared" si="8"/>
        <v>2621.0738255033552</v>
      </c>
    </row>
    <row r="574" spans="3:8" x14ac:dyDescent="0.25">
      <c r="C574">
        <v>58001</v>
      </c>
      <c r="D574">
        <v>58100</v>
      </c>
      <c r="E574">
        <v>1.9463087248322099E-2</v>
      </c>
      <c r="F574">
        <v>45100</v>
      </c>
      <c r="G574">
        <v>2370</v>
      </c>
      <c r="H574">
        <f t="shared" si="8"/>
        <v>2623.0201342281871</v>
      </c>
    </row>
    <row r="575" spans="3:8" x14ac:dyDescent="0.25">
      <c r="C575">
        <v>58101</v>
      </c>
      <c r="D575">
        <v>58200</v>
      </c>
      <c r="E575">
        <v>1.9463087248322099E-2</v>
      </c>
      <c r="F575">
        <v>45100</v>
      </c>
      <c r="G575">
        <v>2370</v>
      </c>
      <c r="H575">
        <f t="shared" si="8"/>
        <v>2624.9664429530194</v>
      </c>
    </row>
    <row r="576" spans="3:8" x14ac:dyDescent="0.25">
      <c r="C576">
        <v>58201</v>
      </c>
      <c r="D576">
        <v>58300</v>
      </c>
      <c r="E576">
        <v>1.9463087248322099E-2</v>
      </c>
      <c r="F576">
        <v>45100</v>
      </c>
      <c r="G576">
        <v>2370</v>
      </c>
      <c r="H576">
        <f t="shared" si="8"/>
        <v>2626.9127516778517</v>
      </c>
    </row>
    <row r="577" spans="3:8" x14ac:dyDescent="0.25">
      <c r="C577">
        <v>58301</v>
      </c>
      <c r="D577">
        <v>58400</v>
      </c>
      <c r="E577">
        <v>1.9463087248322099E-2</v>
      </c>
      <c r="F577">
        <v>45100</v>
      </c>
      <c r="G577">
        <v>2370</v>
      </c>
      <c r="H577">
        <f t="shared" si="8"/>
        <v>2628.859060402684</v>
      </c>
    </row>
    <row r="578" spans="3:8" x14ac:dyDescent="0.25">
      <c r="C578">
        <v>58401</v>
      </c>
      <c r="D578">
        <v>58500</v>
      </c>
      <c r="E578">
        <v>1.9463087248322099E-2</v>
      </c>
      <c r="F578">
        <v>45100</v>
      </c>
      <c r="G578">
        <v>2370</v>
      </c>
      <c r="H578">
        <f t="shared" si="8"/>
        <v>2630.8053691275163</v>
      </c>
    </row>
    <row r="579" spans="3:8" x14ac:dyDescent="0.25">
      <c r="C579">
        <v>58501</v>
      </c>
      <c r="D579">
        <v>58600</v>
      </c>
      <c r="E579">
        <v>1.9463087248322099E-2</v>
      </c>
      <c r="F579">
        <v>45100</v>
      </c>
      <c r="G579">
        <v>2370</v>
      </c>
      <c r="H579">
        <f t="shared" si="8"/>
        <v>2632.7516778523482</v>
      </c>
    </row>
    <row r="580" spans="3:8" x14ac:dyDescent="0.25">
      <c r="C580">
        <v>58601</v>
      </c>
      <c r="D580">
        <v>58700</v>
      </c>
      <c r="E580">
        <v>1.9463087248322099E-2</v>
      </c>
      <c r="F580">
        <v>45100</v>
      </c>
      <c r="G580">
        <v>2370</v>
      </c>
      <c r="H580">
        <f t="shared" ref="H580:H593" si="9">G580+(D580-F580)*E580</f>
        <v>2634.6979865771805</v>
      </c>
    </row>
    <row r="581" spans="3:8" x14ac:dyDescent="0.25">
      <c r="C581">
        <v>58701</v>
      </c>
      <c r="D581">
        <v>58800</v>
      </c>
      <c r="E581">
        <v>1.9463087248322099E-2</v>
      </c>
      <c r="F581">
        <v>45100</v>
      </c>
      <c r="G581">
        <v>2370</v>
      </c>
      <c r="H581">
        <f t="shared" si="9"/>
        <v>2636.6442953020128</v>
      </c>
    </row>
    <row r="582" spans="3:8" x14ac:dyDescent="0.25">
      <c r="C582">
        <v>58801</v>
      </c>
      <c r="D582">
        <v>58900</v>
      </c>
      <c r="E582">
        <v>1.9463087248322099E-2</v>
      </c>
      <c r="F582">
        <v>45100</v>
      </c>
      <c r="G582">
        <v>2370</v>
      </c>
      <c r="H582">
        <f t="shared" si="9"/>
        <v>2638.5906040268451</v>
      </c>
    </row>
    <row r="583" spans="3:8" x14ac:dyDescent="0.25">
      <c r="C583">
        <v>58901</v>
      </c>
      <c r="D583">
        <v>59000</v>
      </c>
      <c r="E583">
        <v>1.9463087248322099E-2</v>
      </c>
      <c r="F583">
        <v>45100</v>
      </c>
      <c r="G583">
        <v>2370</v>
      </c>
      <c r="H583">
        <f t="shared" si="9"/>
        <v>2640.5369127516769</v>
      </c>
    </row>
    <row r="584" spans="3:8" x14ac:dyDescent="0.25">
      <c r="C584">
        <v>59001</v>
      </c>
      <c r="D584">
        <v>59100</v>
      </c>
      <c r="E584">
        <v>1.9463087248322099E-2</v>
      </c>
      <c r="F584">
        <v>45100</v>
      </c>
      <c r="G584">
        <v>2370</v>
      </c>
      <c r="H584">
        <f t="shared" si="9"/>
        <v>2642.4832214765092</v>
      </c>
    </row>
    <row r="585" spans="3:8" x14ac:dyDescent="0.25">
      <c r="C585">
        <v>59101</v>
      </c>
      <c r="D585">
        <v>59200</v>
      </c>
      <c r="E585">
        <v>1.9463087248322099E-2</v>
      </c>
      <c r="F585">
        <v>45100</v>
      </c>
      <c r="G585">
        <v>2370</v>
      </c>
      <c r="H585">
        <f t="shared" si="9"/>
        <v>2644.4295302013415</v>
      </c>
    </row>
    <row r="586" spans="3:8" x14ac:dyDescent="0.25">
      <c r="C586">
        <v>59201</v>
      </c>
      <c r="D586">
        <v>59300</v>
      </c>
      <c r="E586">
        <v>1.9463087248322099E-2</v>
      </c>
      <c r="F586">
        <v>45100</v>
      </c>
      <c r="G586">
        <v>2370</v>
      </c>
      <c r="H586">
        <f t="shared" si="9"/>
        <v>2646.3758389261739</v>
      </c>
    </row>
    <row r="587" spans="3:8" x14ac:dyDescent="0.25">
      <c r="C587">
        <v>59301</v>
      </c>
      <c r="D587">
        <v>59400</v>
      </c>
      <c r="E587">
        <v>1.9463087248322099E-2</v>
      </c>
      <c r="F587">
        <v>45100</v>
      </c>
      <c r="G587">
        <v>2370</v>
      </c>
      <c r="H587">
        <f t="shared" si="9"/>
        <v>2648.3221476510062</v>
      </c>
    </row>
    <row r="588" spans="3:8" x14ac:dyDescent="0.25">
      <c r="C588">
        <v>59401</v>
      </c>
      <c r="D588">
        <v>59500</v>
      </c>
      <c r="E588">
        <v>1.9463087248322099E-2</v>
      </c>
      <c r="F588">
        <v>45100</v>
      </c>
      <c r="G588">
        <v>2370</v>
      </c>
      <c r="H588">
        <f t="shared" si="9"/>
        <v>2650.2684563758385</v>
      </c>
    </row>
    <row r="589" spans="3:8" x14ac:dyDescent="0.25">
      <c r="C589">
        <v>59501</v>
      </c>
      <c r="D589">
        <v>59600</v>
      </c>
      <c r="E589">
        <v>1.9463087248322099E-2</v>
      </c>
      <c r="F589">
        <v>45100</v>
      </c>
      <c r="G589">
        <v>2370</v>
      </c>
      <c r="H589">
        <f t="shared" si="9"/>
        <v>2652.2147651006703</v>
      </c>
    </row>
    <row r="590" spans="3:8" x14ac:dyDescent="0.25">
      <c r="C590">
        <v>59601</v>
      </c>
      <c r="D590">
        <v>59700</v>
      </c>
      <c r="E590">
        <v>1.9463087248322099E-2</v>
      </c>
      <c r="F590">
        <v>45100</v>
      </c>
      <c r="G590">
        <v>2370</v>
      </c>
      <c r="H590">
        <f t="shared" si="9"/>
        <v>2654.1610738255026</v>
      </c>
    </row>
    <row r="591" spans="3:8" x14ac:dyDescent="0.25">
      <c r="C591">
        <v>59701</v>
      </c>
      <c r="D591">
        <v>59800</v>
      </c>
      <c r="E591">
        <v>1.9463087248322099E-2</v>
      </c>
      <c r="F591">
        <v>45100</v>
      </c>
      <c r="G591">
        <v>2370</v>
      </c>
      <c r="H591">
        <f t="shared" si="9"/>
        <v>2656.1073825503349</v>
      </c>
    </row>
    <row r="592" spans="3:8" x14ac:dyDescent="0.25">
      <c r="C592">
        <v>59801</v>
      </c>
      <c r="D592">
        <v>59900</v>
      </c>
      <c r="E592">
        <v>1.9463087248322099E-2</v>
      </c>
      <c r="F592">
        <v>45100</v>
      </c>
      <c r="G592">
        <v>2370</v>
      </c>
      <c r="H592">
        <f t="shared" si="9"/>
        <v>2658.0536912751672</v>
      </c>
    </row>
    <row r="593" spans="3:8" x14ac:dyDescent="0.25">
      <c r="C593">
        <v>59901</v>
      </c>
      <c r="D593">
        <v>60000</v>
      </c>
      <c r="E593">
        <v>1.9463087248322099E-2</v>
      </c>
      <c r="F593">
        <v>45100</v>
      </c>
      <c r="G593">
        <v>2370</v>
      </c>
      <c r="H593">
        <f t="shared" si="9"/>
        <v>2659.9999999999991</v>
      </c>
    </row>
    <row r="594" spans="3:8" x14ac:dyDescent="0.25">
      <c r="H594">
        <v>2865</v>
      </c>
    </row>
  </sheetData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4:K4"/>
  <sheetViews>
    <sheetView workbookViewId="0">
      <selection activeCell="A4" sqref="A4"/>
    </sheetView>
  </sheetViews>
  <sheetFormatPr defaultRowHeight="15" x14ac:dyDescent="0.25"/>
  <sheetData>
    <row r="4" spans="1:11" ht="15.75" x14ac:dyDescent="0.3">
      <c r="A4" s="12" t="s">
        <v>39</v>
      </c>
      <c r="B4" s="12"/>
      <c r="C4" s="12"/>
      <c r="D4" s="12"/>
      <c r="E4" s="12"/>
      <c r="F4" s="12"/>
      <c r="G4" s="12"/>
      <c r="H4" s="12"/>
      <c r="I4" s="12"/>
      <c r="J4" s="12"/>
      <c r="K4" s="12"/>
    </row>
  </sheetData>
  <phoneticPr fontId="1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M9" sqref="M9"/>
    </sheetView>
  </sheetViews>
  <sheetFormatPr defaultRowHeight="15" x14ac:dyDescent="0.25"/>
  <cols>
    <col min="2" max="3" width="9.140625" customWidth="1"/>
  </cols>
  <sheetData/>
  <phoneticPr fontId="16" type="noConversion"/>
  <pageMargins left="0.7" right="0.7" top="0.75" bottom="0.75" header="0.3" footer="0.3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6"/>
  <sheetViews>
    <sheetView workbookViewId="0"/>
  </sheetViews>
  <sheetFormatPr defaultRowHeight="15" x14ac:dyDescent="0.25"/>
  <sheetData>
    <row r="1" spans="1:1" x14ac:dyDescent="0.25">
      <c r="A1" t="s">
        <v>105</v>
      </c>
    </row>
    <row r="2" spans="1:1" x14ac:dyDescent="0.25">
      <c r="A2" t="s">
        <v>106</v>
      </c>
    </row>
    <row r="3" spans="1:1" x14ac:dyDescent="0.25">
      <c r="A3" t="s">
        <v>107</v>
      </c>
    </row>
    <row r="4" spans="1:1" x14ac:dyDescent="0.25">
      <c r="A4" t="s">
        <v>108</v>
      </c>
    </row>
    <row r="5" spans="1:1" x14ac:dyDescent="0.25">
      <c r="A5" t="s">
        <v>109</v>
      </c>
    </row>
    <row r="6" spans="1:1" x14ac:dyDescent="0.25">
      <c r="A6" t="s">
        <v>110</v>
      </c>
    </row>
    <row r="7" spans="1:1" x14ac:dyDescent="0.25">
      <c r="A7" t="s">
        <v>111</v>
      </c>
    </row>
    <row r="8" spans="1:1" x14ac:dyDescent="0.25">
      <c r="A8" t="s">
        <v>112</v>
      </c>
    </row>
    <row r="9" spans="1:1" x14ac:dyDescent="0.25">
      <c r="A9" t="s">
        <v>113</v>
      </c>
    </row>
    <row r="10" spans="1:1" x14ac:dyDescent="0.25">
      <c r="A10" t="s">
        <v>114</v>
      </c>
    </row>
    <row r="11" spans="1:1" x14ac:dyDescent="0.25">
      <c r="A11" t="s">
        <v>115</v>
      </c>
    </row>
    <row r="12" spans="1:1" x14ac:dyDescent="0.25">
      <c r="A12" t="s">
        <v>116</v>
      </c>
    </row>
    <row r="13" spans="1:1" x14ac:dyDescent="0.25">
      <c r="A13" t="s">
        <v>117</v>
      </c>
    </row>
    <row r="14" spans="1:1" x14ac:dyDescent="0.25">
      <c r="A14" t="s">
        <v>118</v>
      </c>
    </row>
    <row r="15" spans="1:1" x14ac:dyDescent="0.25">
      <c r="A15" t="s">
        <v>119</v>
      </c>
    </row>
    <row r="16" spans="1:1" x14ac:dyDescent="0.25">
      <c r="A16" t="s">
        <v>120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9DB10-ED64-4D13-A0C0-7D22A3277DFF}">
  <dimension ref="A1:A2"/>
  <sheetViews>
    <sheetView workbookViewId="0">
      <selection activeCell="H5" sqref="H5"/>
    </sheetView>
  </sheetViews>
  <sheetFormatPr defaultRowHeight="15" x14ac:dyDescent="0.25"/>
  <sheetData>
    <row r="1" spans="1:1" x14ac:dyDescent="0.25">
      <c r="A1" t="s">
        <v>104</v>
      </c>
    </row>
    <row r="2" spans="1:1" x14ac:dyDescent="0.25">
      <c r="A2" t="s">
        <v>176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069D0-24B9-40E5-B765-11B07A5DCB89}">
  <dimension ref="A1:A13"/>
  <sheetViews>
    <sheetView workbookViewId="0">
      <selection activeCell="A14" sqref="A14"/>
    </sheetView>
  </sheetViews>
  <sheetFormatPr defaultRowHeight="15" x14ac:dyDescent="0.25"/>
  <sheetData>
    <row r="1" spans="1:1" x14ac:dyDescent="0.25">
      <c r="A1" t="s">
        <v>122</v>
      </c>
    </row>
    <row r="2" spans="1:1" x14ac:dyDescent="0.25">
      <c r="A2" t="s">
        <v>123</v>
      </c>
    </row>
    <row r="3" spans="1:1" x14ac:dyDescent="0.25">
      <c r="A3" t="s">
        <v>124</v>
      </c>
    </row>
    <row r="4" spans="1:1" x14ac:dyDescent="0.25">
      <c r="A4" t="s">
        <v>156</v>
      </c>
    </row>
    <row r="5" spans="1:1" x14ac:dyDescent="0.25">
      <c r="A5" t="s">
        <v>125</v>
      </c>
    </row>
    <row r="6" spans="1:1" x14ac:dyDescent="0.25">
      <c r="A6" t="s">
        <v>126</v>
      </c>
    </row>
    <row r="7" spans="1:1" x14ac:dyDescent="0.25">
      <c r="A7" t="s">
        <v>127</v>
      </c>
    </row>
    <row r="8" spans="1:1" x14ac:dyDescent="0.25">
      <c r="A8" t="s">
        <v>128</v>
      </c>
    </row>
    <row r="9" spans="1:1" x14ac:dyDescent="0.25">
      <c r="A9" t="s">
        <v>129</v>
      </c>
    </row>
    <row r="10" spans="1:1" x14ac:dyDescent="0.25">
      <c r="A10" t="s">
        <v>130</v>
      </c>
    </row>
    <row r="11" spans="1:1" x14ac:dyDescent="0.25">
      <c r="A11" t="s">
        <v>131</v>
      </c>
    </row>
    <row r="12" spans="1:1" x14ac:dyDescent="0.25">
      <c r="A12" t="s">
        <v>132</v>
      </c>
    </row>
    <row r="13" spans="1:1" x14ac:dyDescent="0.25">
      <c r="A13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Tanker PDA</vt:lpstr>
      <vt:lpstr>Tanker FDA</vt:lpstr>
      <vt:lpstr>Harbour</vt:lpstr>
      <vt:lpstr>REINSPECTION</vt:lpstr>
      <vt:lpstr>ENVIRONMENT</vt:lpstr>
      <vt:lpstr>Pilot</vt:lpstr>
      <vt:lpstr>Mooring</vt:lpstr>
      <vt:lpstr>ANCHORAGE</vt:lpstr>
      <vt:lpstr>GEOREP</vt:lpstr>
      <vt:lpstr>MONITORING</vt:lpstr>
      <vt:lpstr>'Tanker FDA'!Print_Area</vt:lpstr>
      <vt:lpstr>'Tanker PDA'!Print_Area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zurab meskhidze</cp:lastModifiedBy>
  <cp:lastPrinted>2025-02-14T10:27:44Z</cp:lastPrinted>
  <dcterms:created xsi:type="dcterms:W3CDTF">2013-11-18T07:12:47Z</dcterms:created>
  <dcterms:modified xsi:type="dcterms:W3CDTF">2026-04-03T11:54:57Z</dcterms:modified>
</cp:coreProperties>
</file>